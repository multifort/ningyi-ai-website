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6a2f264ab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映射" sheetId="1" r:id="R89b5a9b9d65b45f0"/>
    <x:sheet xmlns:r="http://schemas.openxmlformats.org/officeDocument/2006/relationships" name="主数据边界" sheetId="2" r:id="R011282059c8948f4"/>
    <x:sheet xmlns:r="http://schemas.openxmlformats.org/officeDocument/2006/relationships" name="样例对账" sheetId="3" r:id="R5a273035d7b4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sz val="10"/>
      <x:color rgb="FF24313C"/>
      <x:name val="Arial"/>
    </x:font>
    <x:font>
      <x:b/>
      <x:sz val="16"/>
      <x:color rgb="FF111827"/>
      <x:name val="Arial"/>
    </x:font>
    <x:font>
      <x:i/>
      <x:sz val="10"/>
      <x:color rgb="FF667684"/>
      <x:name val="Arial"/>
    </x:font>
    <x:font>
      <x:b/>
      <x:sz val="10"/>
      <x:color rgb="FFFFFFFF"/>
      <x:name val="Arial"/>
    </x:font>
    <x:font>
      <x:b/>
      <x:sz val="10"/>
      <x:color rgb="FF7A4E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FFF4CE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4DEE5"/>
      </x:left>
      <x:right style="thin">
        <x:color rgb="FFD4DEE5"/>
      </x:right>
      <x:top style="thin">
        <x:color rgb="FFD4DEE5"/>
      </x:top>
      <x:bottom style="thin">
        <x:color rgb="FFD4DEE5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779c8f380d4b31" /><Relationship Type="http://schemas.openxmlformats.org/officeDocument/2006/relationships/theme" Target="/xl/theme/theme1.xml" Id="R1e56289363b64a1c" /><Relationship Type="http://schemas.openxmlformats.org/officeDocument/2006/relationships/sharedStrings" Target="/xl/sharedStrings.xml" Id="R77b2e035b8d840d0" /><Relationship Type="http://schemas.openxmlformats.org/officeDocument/2006/relationships/worksheet" Target="/xl/worksheets/sheet1.xml" Id="R89b5a9b9d65b45f0" /><Relationship Type="http://schemas.openxmlformats.org/officeDocument/2006/relationships/worksheet" Target="/xl/worksheets/sheet2.xml" Id="R011282059c8948f4" /><Relationship Type="http://schemas.openxmlformats.org/officeDocument/2006/relationships/worksheet" Target="/xl/worksheets/sheet3.xml" Id="R5a273035d7b441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B5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23" hidden="0" customWidth="1"/>
    <x:col min="4" max="4" width="24" hidden="0" customWidth="1"/>
    <x:col min="5" max="5" width="14" hidden="0" customWidth="1"/>
    <x:col min="6" max="6" width="18" hidden="0" customWidth="1"/>
    <x:col min="7" max="7" width="12" hidden="0" customWidth="1"/>
    <x:col min="8" max="8" width="35" hidden="0" customWidth="1"/>
    <x:col min="9" max="9" width="25" hidden="0" customWidth="1"/>
    <x:col min="10" max="10" width="24" hidden="0" customWidth="1"/>
    <x:col min="11" max="11" width="18" hidden="0" customWidth="1"/>
    <x:col min="12" max="12" width="2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2" t="str">
        <x:v>CRM 与 ERP 字段映射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3" t="str">
        <x:v>映射方向、主数据所有权、转换、失败处理和回写边界的唯一事实来源。数据均为虚构。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9" t="str">
        <x:v>编号</x:v>
      </x:c>
      <x:c r="B5" s="9" t="str">
        <x:v>对象</x:v>
      </x:c>
      <x:c r="C5" s="9" t="str">
        <x:v>CRM字段</x:v>
      </x:c>
      <x:c r="D5" s="9" t="str">
        <x:v>ERP字段</x:v>
      </x:c>
      <x:c r="E5" s="9" t="str">
        <x:v>方向</x:v>
      </x:c>
      <x:c r="F5" s="9" t="str">
        <x:v>主数据系统</x:v>
      </x:c>
      <x:c r="G5" s="9" t="str">
        <x:v>必填</x:v>
      </x:c>
      <x:c r="H5" s="9" t="str">
        <x:v>转换规则</x:v>
      </x:c>
      <x:c r="I5" s="9" t="str">
        <x:v>校验</x:v>
      </x:c>
      <x:c r="J5" s="9" t="str">
        <x:v>失败处理</x:v>
      </x:c>
      <x:c r="K5" s="9" t="str">
        <x:v>可否回写CRM</x:v>
      </x:c>
      <x:c r="L5" s="9" t="str">
        <x:v>备注</x:v>
      </x:c>
    </x:row>
    <x:row r="6" ht="50" customHeight="1">
      <x:c r="A6" s="12" t="str">
        <x:v>MAP-001</x:v>
      </x:c>
      <x:c r="B6" s="12" t="str">
        <x:v>客户</x:v>
      </x:c>
      <x:c r="C6" s="12" t="str">
        <x:v>account_id</x:v>
      </x:c>
      <x:c r="D6" s="12" t="str">
        <x:v>external_customer_id</x:v>
      </x:c>
      <x:c r="E6" s="12" t="str">
        <x:v>CRM→ERP</x:v>
      </x:c>
      <x:c r="F6" s="12" t="str">
        <x:v>CRM</x:v>
      </x:c>
      <x:c r="G6" s="12" t="str">
        <x:v>是</x:v>
      </x:c>
      <x:c r="H6" s="12" t="str">
        <x:v>原样UUID</x:v>
      </x:c>
      <x:c r="I6" s="12" t="str">
        <x:v>格式+唯一</x:v>
      </x:c>
      <x:c r="J6" s="12" t="str">
        <x:v>阻断</x:v>
      </x:c>
      <x:c r="K6" s="12" t="str">
        <x:v>否</x:v>
      </x:c>
      <x:c r="L6" s="12" t="str">
        <x:v>稳定关联键</x:v>
      </x:c>
    </x:row>
    <x:row r="7" ht="50" customHeight="1">
      <x:c r="A7" s="12" t="str">
        <x:v>MAP-002</x:v>
      </x:c>
      <x:c r="B7" s="12" t="str">
        <x:v>客户</x:v>
      </x:c>
      <x:c r="C7" s="12" t="str">
        <x:v>legal_name</x:v>
      </x:c>
      <x:c r="D7" s="12" t="str">
        <x:v>legal_name</x:v>
      </x:c>
      <x:c r="E7" s="12" t="str">
        <x:v>CRM→ERP</x:v>
      </x:c>
      <x:c r="F7" s="12" t="str">
        <x:v>CRM</x:v>
      </x:c>
      <x:c r="G7" s="12" t="str">
        <x:v>是</x:v>
      </x:c>
      <x:c r="H7" s="12" t="str">
        <x:v>去首尾空格，不改正文</x:v>
      </x:c>
      <x:c r="I7" s="12" t="str">
        <x:v>1-200字符</x:v>
      </x:c>
      <x:c r="J7" s="12" t="str">
        <x:v>待人工复核</x:v>
      </x:c>
      <x:c r="K7" s="12" t="str">
        <x:v>否</x:v>
      </x:c>
      <x:c r="L7" s="12" t="str">
        <x:v>不得按名称新建重复客户</x:v>
      </x:c>
    </x:row>
    <x:row r="8" ht="50" customHeight="1">
      <x:c r="A8" s="12" t="str">
        <x:v>MAP-003</x:v>
      </x:c>
      <x:c r="B8" s="12" t="str">
        <x:v>客户</x:v>
      </x:c>
      <x:c r="C8" s="12" t="str">
        <x:v>unified_credit_code</x:v>
      </x:c>
      <x:c r="D8" s="12" t="str">
        <x:v>taxpayer_id</x:v>
      </x:c>
      <x:c r="E8" s="12" t="str">
        <x:v>CRM→ERP</x:v>
      </x:c>
      <x:c r="F8" s="12" t="str">
        <x:v>境内客户由CRM</x:v>
      </x:c>
      <x:c r="G8" s="12" t="str">
        <x:v>条件必填</x:v>
      </x:c>
      <x:c r="H8" s="12" t="str">
        <x:v>大写并去空格</x:v>
      </x:c>
      <x:c r="I8" s="12" t="str">
        <x:v>18位校验</x:v>
      </x:c>
      <x:c r="J8" s="12" t="str">
        <x:v>阻断</x:v>
      </x:c>
      <x:c r="K8" s="12" t="str">
        <x:v>否</x:v>
      </x:c>
      <x:c r="L8" s="12" t="str">
        <x:v>变更需人工复核</x:v>
      </x:c>
    </x:row>
    <x:row r="9" ht="50" customHeight="1">
      <x:c r="A9" s="12" t="str">
        <x:v>MAP-004</x:v>
      </x:c>
      <x:c r="B9" s="12" t="str">
        <x:v>客户</x:v>
      </x:c>
      <x:c r="C9" s="12" t="str">
        <x:v>无</x:v>
      </x:c>
      <x:c r="D9" s="12" t="str">
        <x:v>customer_code</x:v>
      </x:c>
      <x:c r="E9" s="12" t="str">
        <x:v>ERP→CRM</x:v>
      </x:c>
      <x:c r="F9" s="12" t="str">
        <x:v>ERP</x:v>
      </x:c>
      <x:c r="G9" s="12" t="str">
        <x:v>是</x:v>
      </x:c>
      <x:c r="H9" s="12" t="str">
        <x:v>原样</x:v>
      </x:c>
      <x:c r="I9" s="12" t="str">
        <x:v>ERP唯一</x:v>
      </x:c>
      <x:c r="J9" s="12" t="str">
        <x:v>重试回写</x:v>
      </x:c>
      <x:c r="K9" s="12" t="str">
        <x:v>是，只读</x:v>
      </x:c>
      <x:c r="L9" s="12" t="str">
        <x:v>ERP创建后返回</x:v>
      </x:c>
    </x:row>
    <x:row r="10" ht="50" customHeight="1">
      <x:c r="A10" s="12" t="str">
        <x:v>MAP-005</x:v>
      </x:c>
      <x:c r="B10" s="12" t="str">
        <x:v>财务</x:v>
      </x:c>
      <x:c r="C10" s="12" t="str">
        <x:v>无</x:v>
      </x:c>
      <x:c r="D10" s="12" t="str">
        <x:v>credit_limit</x:v>
      </x:c>
      <x:c r="E10" s="12" t="str">
        <x:v>ERP→CRM</x:v>
      </x:c>
      <x:c r="F10" s="12" t="str">
        <x:v>ERP</x:v>
      </x:c>
      <x:c r="G10" s="12" t="str">
        <x:v>否</x:v>
      </x:c>
      <x:c r="H10" s="12" t="str">
        <x:v>两位小数</x:v>
      </x:c>
      <x:c r="I10" s="12" t="str">
        <x:v>&gt;=0</x:v>
      </x:c>
      <x:c r="J10" s="12" t="str">
        <x:v>仅告警</x:v>
      </x:c>
      <x:c r="K10" s="12" t="str">
        <x:v>是，只读</x:v>
      </x:c>
      <x:c r="L10" s="12" t="str">
        <x:v>CRM不得修改</x:v>
      </x:c>
    </x:row>
    <x:row r="11" ht="50" customHeight="1">
      <x:c r="A11" s="12" t="str">
        <x:v>MAP-006</x:v>
      </x:c>
      <x:c r="B11" s="12" t="str">
        <x:v>联系人</x:v>
      </x:c>
      <x:c r="C11" s="12" t="str">
        <x:v>contact.email</x:v>
      </x:c>
      <x:c r="D11" s="12" t="str">
        <x:v>contact_email</x:v>
      </x:c>
      <x:c r="E11" s="12" t="str">
        <x:v>CRM→ERP</x:v>
      </x:c>
      <x:c r="F11" s="12" t="str">
        <x:v>CRM</x:v>
      </x:c>
      <x:c r="G11" s="12" t="str">
        <x:v>否</x:v>
      </x:c>
      <x:c r="H11" s="12" t="str">
        <x:v>转小写</x:v>
      </x:c>
      <x:c r="I11" s="12" t="str">
        <x:v>邮箱格式+授权状态</x:v>
      </x:c>
      <x:c r="J11" s="12" t="str">
        <x:v>跳过该联系人</x:v>
      </x:c>
      <x:c r="K11" s="12" t="str">
        <x:v>否</x:v>
      </x:c>
      <x:c r="L11" s="12" t="str">
        <x:v>未授权不传</x:v>
      </x:c>
    </x:row>
    <x:row r="12" ht="50" customHeight="1">
      <x:c r="A12" s="12" t="str">
        <x:v>MAP-007</x:v>
      </x:c>
      <x:c r="B12" s="12" t="str">
        <x:v>订单</x:v>
      </x:c>
      <x:c r="C12" s="12" t="str">
        <x:v>contract_no</x:v>
      </x:c>
      <x:c r="D12" s="12" t="str">
        <x:v>external_order_no</x:v>
      </x:c>
      <x:c r="E12" s="12" t="str">
        <x:v>CRM→ERP</x:v>
      </x:c>
      <x:c r="F12" s="12" t="str">
        <x:v>CRM</x:v>
      </x:c>
      <x:c r="G12" s="12" t="str">
        <x:v>是</x:v>
      </x:c>
      <x:c r="H12" s="12" t="str">
        <x:v>原样</x:v>
      </x:c>
      <x:c r="I12" s="12" t="str">
        <x:v>永久唯一</x:v>
      </x:c>
      <x:c r="J12" s="12" t="str">
        <x:v>先查询后409</x:v>
      </x:c>
      <x:c r="K12" s="12" t="str">
        <x:v>否</x:v>
      </x:c>
      <x:c r="L12" s="12" t="str">
        <x:v>业务幂等键</x:v>
      </x:c>
    </x:row>
    <x:row r="13" ht="50" customHeight="1">
      <x:c r="A13" s="12" t="str">
        <x:v>MAP-008</x:v>
      </x:c>
      <x:c r="B13" s="12" t="str">
        <x:v>订单</x:v>
      </x:c>
      <x:c r="C13" s="12" t="str">
        <x:v>currency</x:v>
      </x:c>
      <x:c r="D13" s="12" t="str">
        <x:v>currency_code</x:v>
      </x:c>
      <x:c r="E13" s="12" t="str">
        <x:v>CRM→ERP</x:v>
      </x:c>
      <x:c r="F13" s="12" t="str">
        <x:v>CRM</x:v>
      </x:c>
      <x:c r="G13" s="12" t="str">
        <x:v>是</x:v>
      </x:c>
      <x:c r="H13" s="12" t="str">
        <x:v>枚举映射</x:v>
      </x:c>
      <x:c r="I13" s="12" t="str">
        <x:v>CNY/USD/EUR</x:v>
      </x:c>
      <x:c r="J13" s="12" t="str">
        <x:v>阻断</x:v>
      </x:c>
      <x:c r="K13" s="12" t="str">
        <x:v>否</x:v>
      </x:c>
      <x:c r="L13" s="12" t="str">
        <x:v>保留原币</x:v>
      </x:c>
    </x:row>
    <x:row r="14" ht="50" customHeight="1">
      <x:c r="A14" s="12" t="str">
        <x:v>MAP-009</x:v>
      </x:c>
      <x:c r="B14" s="12" t="str">
        <x:v>金额</x:v>
      </x:c>
      <x:c r="C14" s="12" t="str">
        <x:v>line.gross_amount</x:v>
      </x:c>
      <x:c r="D14" s="12" t="str">
        <x:v>line.net_amount</x:v>
      </x:c>
      <x:c r="E14" s="12" t="str">
        <x:v>CRM→ERP</x:v>
      </x:c>
      <x:c r="F14" s="12" t="str">
        <x:v>双方派生</x:v>
      </x:c>
      <x:c r="G14" s="12" t="str">
        <x:v>是</x:v>
      </x:c>
      <x:c r="H14" s="12" t="str">
        <x:v>gross/(1+tax_rate)，行级四舍五入2位</x:v>
      </x:c>
      <x:c r="I14" s="12" t="str">
        <x:v>net+tax=gross</x:v>
      </x:c>
      <x:c r="J14" s="12" t="str">
        <x:v>阻断并对账</x:v>
      </x:c>
      <x:c r="K14" s="12" t="str">
        <x:v>否</x:v>
      </x:c>
      <x:c r="L14" s="12" t="str">
        <x:v>禁止订单级重分摊</x:v>
      </x:c>
    </x:row>
    <x:row r="15" ht="50" customHeight="1">
      <x:c r="A15" s="12" t="str">
        <x:v>MAP-010</x:v>
      </x:c>
      <x:c r="B15" s="12" t="str">
        <x:v>税务</x:v>
      </x:c>
      <x:c r="C15" s="12" t="str">
        <x:v>line.tax_rate</x:v>
      </x:c>
      <x:c r="D15" s="12" t="str">
        <x:v>line.tax_code</x:v>
      </x:c>
      <x:c r="E15" s="12" t="str">
        <x:v>CRM→ERP</x:v>
      </x:c>
      <x:c r="F15" s="12" t="str">
        <x:v>ERP税码</x:v>
      </x:c>
      <x:c r="G15" s="12" t="str">
        <x:v>是</x:v>
      </x:c>
      <x:c r="H15" s="12" t="str">
        <x:v>0.13→CN-VAT-13；0.06→CN-VAT-06</x:v>
      </x:c>
      <x:c r="I15" s="12" t="str">
        <x:v>税码存在且有效</x:v>
      </x:c>
      <x:c r="J15" s="12" t="str">
        <x:v>阻断</x:v>
      </x:c>
      <x:c r="K15" s="12" t="str">
        <x:v>否</x:v>
      </x:c>
      <x:c r="L15" s="12" t="str">
        <x:v>不能只传税率文本</x:v>
      </x:c>
    </x:row>
    <x:row r="16" ht="50" customHeight="1">
      <x:c r="A16" s="12" t="str">
        <x:v>MAP-011</x:v>
      </x:c>
      <x:c r="B16" s="12" t="str">
        <x:v>物料</x:v>
      </x:c>
      <x:c r="C16" s="12" t="str">
        <x:v>line.product_sku</x:v>
      </x:c>
      <x:c r="D16" s="12" t="str">
        <x:v>line.material_id</x:v>
      </x:c>
      <x:c r="E16" s="12" t="str">
        <x:v>CRM→ERP</x:v>
      </x:c>
      <x:c r="F16" s="12" t="str">
        <x:v>ERP</x:v>
      </x:c>
      <x:c r="G16" s="12" t="str">
        <x:v>是</x:v>
      </x:c>
      <x:c r="H16" s="12" t="str">
        <x:v>经外部编码映射解析</x:v>
      </x:c>
      <x:c r="I16" s="12" t="str">
        <x:v>物料有效</x:v>
      </x:c>
      <x:c r="J16" s="12" t="str">
        <x:v>进入映射待办</x:v>
      </x:c>
      <x:c r="K16" s="12" t="str">
        <x:v>否</x:v>
      </x:c>
      <x:c r="L16" s="12" t="str">
        <x:v>不得临时建物料</x:v>
      </x:c>
    </x:row>
    <x:row r="17" ht="50" customHeight="1">
      <x:c r="A17" s="12" t="str">
        <x:v>MAP-012</x:v>
      </x:c>
      <x:c r="B17" s="12" t="str">
        <x:v>交付</x:v>
      </x:c>
      <x:c r="C17" s="12" t="str">
        <x:v>requested_delivery_date</x:v>
      </x:c>
      <x:c r="D17" s="12" t="str">
        <x:v>requested_delivery_date</x:v>
      </x:c>
      <x:c r="E17" s="12" t="str">
        <x:v>CRM→ERP</x:v>
      </x:c>
      <x:c r="F17" s="12" t="str">
        <x:v>CRM</x:v>
      </x:c>
      <x:c r="G17" s="12" t="str">
        <x:v>否</x:v>
      </x:c>
      <x:c r="H17" s="12" t="str">
        <x:v>ISO日期</x:v>
      </x:c>
      <x:c r="I17" s="12" t="str">
        <x:v>不早于签约日</x:v>
      </x:c>
      <x:c r="J17" s="12" t="str">
        <x:v>待人工复核</x:v>
      </x:c>
      <x:c r="K17" s="12" t="str">
        <x:v>否</x:v>
      </x:c>
      <x:c r="L17" s="12" t="str">
        <x:v>客户期望日期</x:v>
      </x:c>
    </x:row>
    <x:row r="18" ht="50" customHeight="1">
      <x:c r="A18" s="12" t="str">
        <x:v>MAP-013</x:v>
      </x:c>
      <x:c r="B18" s="12" t="str">
        <x:v>交付</x:v>
      </x:c>
      <x:c r="C18" s="12" t="str">
        <x:v>无</x:v>
      </x:c>
      <x:c r="D18" s="12" t="str">
        <x:v>promised_delivery_date</x:v>
      </x:c>
      <x:c r="E18" s="12" t="str">
        <x:v>ERP→CRM</x:v>
      </x:c>
      <x:c r="F18" s="12" t="str">
        <x:v>ERP</x:v>
      </x:c>
      <x:c r="G18" s="12" t="str">
        <x:v>否</x:v>
      </x:c>
      <x:c r="H18" s="12" t="str">
        <x:v>ISO日期</x:v>
      </x:c>
      <x:c r="I18" s="12" t="str">
        <x:v>ERP计划结果</x:v>
      </x:c>
      <x:c r="J18" s="12" t="str">
        <x:v>重试回写</x:v>
      </x:c>
      <x:c r="K18" s="12" t="str">
        <x:v>是，只读</x:v>
      </x:c>
      <x:c r="L18" s="12" t="str">
        <x:v>不得覆盖期望日期</x:v>
      </x:c>
    </x:row>
    <x:row r="19" ht="50" customHeight="1">
      <x:c r="A19" s="12" t="str">
        <x:v>MAP-014</x:v>
      </x:c>
      <x:c r="B19" s="12" t="str">
        <x:v>回款</x:v>
      </x:c>
      <x:c r="C19" s="12" t="str">
        <x:v>无</x:v>
      </x:c>
      <x:c r="D19" s="12" t="str">
        <x:v>payment_status</x:v>
      </x:c>
      <x:c r="E19" s="12" t="str">
        <x:v>ERP→CRM</x:v>
      </x:c>
      <x:c r="F19" s="12" t="str">
        <x:v>ERP</x:v>
      </x:c>
      <x:c r="G19" s="12" t="str">
        <x:v>否</x:v>
      </x:c>
      <x:c r="H19" s="12" t="str">
        <x:v>状态枚举</x:v>
      </x:c>
      <x:c r="I19" s="12" t="str">
        <x:v>DUE/PARTIAL/PAID</x:v>
      </x:c>
      <x:c r="J19" s="12" t="str">
        <x:v>重试回写</x:v>
      </x:c>
      <x:c r="K19" s="12" t="str">
        <x:v>是，只读</x:v>
      </x:c>
      <x:c r="L19" s="12" t="str">
        <x:v>CRM不得推断</x:v>
      </x:c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</x:sheetData>
  <x:mergeCells>
    <x:mergeCell ref="A2:L2"/>
    <x:mergeCell ref="A3:L3"/>
  </x:mergeCells>
  <x:conditionalFormatting sqref="A6:L19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1" hidden="0" customWidth="1"/>
    <x:col min="4" max="4" width="31" hidden="0" customWidth="1"/>
    <x:col min="5" max="5" width="22" hidden="0" customWidth="1"/>
    <x:col min="6" max="6" width="33" hidden="0" customWidth="1"/>
    <x:col min="7" max="7" width="27" hidden="0" customWidth="1"/>
    <x:col min="8" max="8" width="3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2" t="str">
        <x:v>主数据与状态边界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3" t="str">
        <x:v>冲突时不按“最后写入者获胜”，而按对象所有权、版本和人工复核规则处理。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9" t="str">
        <x:v>对象</x:v>
      </x:c>
      <x:c r="B5" s="9" t="str">
        <x:v>主数据系统</x:v>
      </x:c>
      <x:c r="C5" s="9" t="str">
        <x:v>CRM可写</x:v>
      </x:c>
      <x:c r="D5" s="9" t="str">
        <x:v>ERP可写</x:v>
      </x:c>
      <x:c r="E5" s="9" t="str">
        <x:v>同步方向</x:v>
      </x:c>
      <x:c r="F5" s="9" t="str">
        <x:v>冲突处理</x:v>
      </x:c>
      <x:c r="G5" s="9" t="str">
        <x:v>对账键</x:v>
      </x:c>
      <x:c r="H5" s="9" t="str">
        <x:v>禁止做法</x:v>
      </x:c>
      <x:c r="I5" s="1"/>
      <x:c r="J5" s="1"/>
      <x:c r="K5" s="1"/>
      <x:c r="L5" s="1"/>
    </x:row>
    <x:row r="6" ht="56" customHeight="1">
      <x:c r="A6" s="12" t="str">
        <x:v>客户身份</x:v>
      </x:c>
      <x:c r="B6" s="12" t="str">
        <x:v>CRM</x:v>
      </x:c>
      <x:c r="C6" s="12" t="str">
        <x:v>法定名称、信用代码、联系人授权、客户状态</x:v>
      </x:c>
      <x:c r="D6" s="12" t="str">
        <x:v>ERP客户编码</x:v>
      </x:c>
      <x:c r="E6" s="12" t="str">
        <x:v>双向但字段分属</x:v>
      </x:c>
      <x:c r="F6" s="12" t="str">
        <x:v>名称冲突待复核</x:v>
      </x:c>
      <x:c r="G6" s="12" t="str">
        <x:v>account_id/customer_code</x:v>
      </x:c>
      <x:c r="H6" s="12" t="str">
        <x:v>按名称新建重复客户</x:v>
      </x:c>
      <x:c r="I6" s="1"/>
      <x:c r="J6" s="1"/>
      <x:c r="K6" s="1"/>
      <x:c r="L6" s="1"/>
    </x:row>
    <x:row r="7" ht="56" customHeight="1">
      <x:c r="A7" s="12" t="str">
        <x:v>客户财务</x:v>
      </x:c>
      <x:c r="B7" s="12" t="str">
        <x:v>ERP</x:v>
      </x:c>
      <x:c r="C7" s="12" t="str">
        <x:v>无</x:v>
      </x:c>
      <x:c r="D7" s="12" t="str">
        <x:v>信用额度、税务冻结、付款条件</x:v>
      </x:c>
      <x:c r="E7" s="12" t="str">
        <x:v>ERP→CRM只读</x:v>
      </x:c>
      <x:c r="F7" s="12" t="str">
        <x:v>ERP优先并留痕</x:v>
      </x:c>
      <x:c r="G7" s="12" t="str">
        <x:v>customer_code</x:v>
      </x:c>
      <x:c r="H7" s="12" t="str">
        <x:v>CRM修改信用额度</x:v>
      </x:c>
      <x:c r="I7" s="1"/>
      <x:c r="J7" s="1"/>
      <x:c r="K7" s="1"/>
      <x:c r="L7" s="1"/>
    </x:row>
    <x:row r="8" ht="56" customHeight="1">
      <x:c r="A8" s="12" t="str">
        <x:v>商机与报价</x:v>
      </x:c>
      <x:c r="B8" s="12" t="str">
        <x:v>CRM</x:v>
      </x:c>
      <x:c r="C8" s="12" t="str">
        <x:v>商机、报价、含税金额、客户期望日</x:v>
      </x:c>
      <x:c r="D8" s="12" t="str">
        <x:v>无</x:v>
      </x:c>
      <x:c r="E8" s="12" t="str">
        <x:v>CRM→ERP</x:v>
      </x:c>
      <x:c r="F8" s="12" t="str">
        <x:v>批准报价版本锁定</x:v>
      </x:c>
      <x:c r="G8" s="12" t="str">
        <x:v>quote_no/version</x:v>
      </x:c>
      <x:c r="H8" s="12" t="str">
        <x:v>ERP反写报价</x:v>
      </x:c>
      <x:c r="I8" s="1"/>
      <x:c r="J8" s="1"/>
      <x:c r="K8" s="1"/>
      <x:c r="L8" s="1"/>
    </x:row>
    <x:row r="9" ht="56" customHeight="1">
      <x:c r="A9" s="12" t="str">
        <x:v>销售订单</x:v>
      </x:c>
      <x:c r="B9" s="12" t="str">
        <x:v>ERP</x:v>
      </x:c>
      <x:c r="C9" s="12" t="str">
        <x:v>签约事件和合同号</x:v>
      </x:c>
      <x:c r="D9" s="12" t="str">
        <x:v>订单号、审核状态、承诺日</x:v>
      </x:c>
      <x:c r="E9" s="12" t="str">
        <x:v>CRM触发，ERP回写</x:v>
      </x:c>
      <x:c r="F9" s="12" t="str">
        <x:v>按external_order_no与摘要幂等</x:v>
      </x:c>
      <x:c r="G9" s="12" t="str">
        <x:v>external_order_no</x:v>
      </x:c>
      <x:c r="H9" s="12" t="str">
        <x:v>超时后直接再建</x:v>
      </x:c>
      <x:c r="I9" s="1"/>
      <x:c r="J9" s="1"/>
      <x:c r="K9" s="1"/>
      <x:c r="L9" s="1"/>
    </x:row>
    <x:row r="10" ht="56" customHeight="1">
      <x:c r="A10" s="12" t="str">
        <x:v>物料与税码</x:v>
      </x:c>
      <x:c r="B10" s="12" t="str">
        <x:v>ERP</x:v>
      </x:c>
      <x:c r="C10" s="12" t="str">
        <x:v>外部产品编码、税率意图</x:v>
      </x:c>
      <x:c r="D10" s="12" t="str">
        <x:v>material_id、tax_code</x:v>
      </x:c>
      <x:c r="E10" s="12" t="str">
        <x:v>CRM→映射→ERP</x:v>
      </x:c>
      <x:c r="F10" s="12" t="str">
        <x:v>缺失映射阻断</x:v>
      </x:c>
      <x:c r="G10" s="12" t="str">
        <x:v>product_sku/material_id</x:v>
      </x:c>
      <x:c r="H10" s="12" t="str">
        <x:v>临时创建主数据</x:v>
      </x:c>
      <x:c r="I10" s="1"/>
      <x:c r="J10" s="1"/>
      <x:c r="K10" s="1"/>
      <x:c r="L10" s="1"/>
    </x:row>
    <x:row r="11" ht="56" customHeight="1">
      <x:c r="A11" s="12" t="str">
        <x:v>发运</x:v>
      </x:c>
      <x:c r="B11" s="12" t="str">
        <x:v>ERP</x:v>
      </x:c>
      <x:c r="C11" s="12" t="str">
        <x:v>无</x:v>
      </x:c>
      <x:c r="D11" s="12" t="str">
        <x:v>发运单与数量</x:v>
      </x:c>
      <x:c r="E11" s="12" t="str">
        <x:v>ERP→CRM只读</x:v>
      </x:c>
      <x:c r="F11" s="12" t="str">
        <x:v>ERP事实优先</x:v>
      </x:c>
      <x:c r="G11" s="12" t="str">
        <x:v>erp_order_no</x:v>
      </x:c>
      <x:c r="H11" s="12" t="str">
        <x:v>CRM手工标记发货</x:v>
      </x:c>
      <x:c r="I11" s="1"/>
      <x:c r="J11" s="1"/>
      <x:c r="K11" s="1"/>
      <x:c r="L11" s="1"/>
    </x:row>
    <x:row r="12" ht="56" customHeight="1">
      <x:c r="A12" s="12" t="str">
        <x:v>发票与应收</x:v>
      </x:c>
      <x:c r="B12" s="12" t="str">
        <x:v>ERP</x:v>
      </x:c>
      <x:c r="C12" s="12" t="str">
        <x:v>无</x:v>
      </x:c>
      <x:c r="D12" s="12" t="str">
        <x:v>发票、应收、到期日</x:v>
      </x:c>
      <x:c r="E12" s="12" t="str">
        <x:v>ERP→CRM只读</x:v>
      </x:c>
      <x:c r="F12" s="12" t="str">
        <x:v>ERP事实优先</x:v>
      </x:c>
      <x:c r="G12" s="12" t="str">
        <x:v>invoice_no</x:v>
      </x:c>
      <x:c r="H12" s="12" t="str">
        <x:v>CRM生成财务状态</x:v>
      </x:c>
      <x:c r="I12" s="1"/>
      <x:c r="J12" s="1"/>
      <x:c r="K12" s="1"/>
      <x:c r="L12" s="1"/>
    </x:row>
    <x:row r="13" ht="56" customHeight="1">
      <x:c r="A13" s="12" t="str">
        <x:v>付款与核销</x:v>
      </x:c>
      <x:c r="B13" s="12" t="str">
        <x:v>ERP</x:v>
      </x:c>
      <x:c r="C13" s="12" t="str">
        <x:v>无</x:v>
      </x:c>
      <x:c r="D13" s="12" t="str">
        <x:v>付款、核销、余额</x:v>
      </x:c>
      <x:c r="E13" s="12" t="str">
        <x:v>ERP→CRM只读</x:v>
      </x:c>
      <x:c r="F13" s="12" t="str">
        <x:v>ERP事实优先</x:v>
      </x:c>
      <x:c r="G13" s="12" t="str">
        <x:v>payment_id</x:v>
      </x:c>
      <x:c r="H13" s="12" t="str">
        <x:v>CRM猜测已回款</x:v>
      </x:c>
      <x:c r="I13" s="1"/>
      <x:c r="J13" s="1"/>
      <x:c r="K13" s="1"/>
      <x:c r="L13" s="1"/>
    </x:row>
    <x:row r="14" ht="56" customHeight="1">
      <x:c r="A14" s="12" t="str">
        <x:v>同步运行</x:v>
      </x:c>
      <x:c r="B14" s="12" t="str">
        <x:v>集成平台</x:v>
      </x:c>
      <x:c r="C14" s="12" t="str">
        <x:v>触发事件</x:v>
      </x:c>
      <x:c r="D14" s="12" t="str">
        <x:v>业务结果</x:v>
      </x:c>
      <x:c r="E14" s="12" t="str">
        <x:v>双向</x:v>
      </x:c>
      <x:c r="F14" s="12" t="str">
        <x:v>请求摘要+版本+幂等记录</x:v>
      </x:c>
      <x:c r="G14" s="12" t="str">
        <x:v>event_id/request_id</x:v>
      </x:c>
      <x:c r="H14" s="12" t="str">
        <x:v>无限重试或静默丢弃</x:v>
      </x:c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</x:sheetData>
  <x:mergeCells>
    <x:mergeCell ref="A2:H2"/>
    <x:mergeCell ref="A3:H3"/>
  </x:mergeCells>
  <x:conditionalFormatting sqref="A6:H14">
    <x:cfRule type="expression" dxfId="1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8" hidden="0" customWidth="1"/>
    <x:col min="4" max="4" width="12" hidden="0" customWidth="1"/>
    <x:col min="5" max="5" width="20" hidden="0" customWidth="1"/>
    <x:col min="6" max="6" width="15" hidden="0" customWidth="1"/>
    <x:col min="7" max="7" width="18" hidden="0" customWidth="1"/>
    <x:col min="8" max="8" width="12" hidden="0" customWidth="1"/>
    <x:col min="9" max="9" width="18" hidden="0" customWidth="1"/>
    <x:col min="10" max="10" width="27" hidden="0" customWidth="1"/>
    <x:col min="11" max="11" width="23" hidden="0" customWidth="1"/>
    <x:col min="12" max="12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2" t="str">
        <x:v>金额、幂等与错误恢复样例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3" t="str">
        <x:v>金额按行换算并对账；超时或重复请求先查询业务键，禁止重复创建订单。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9" t="str">
        <x:v>样例</x:v>
      </x:c>
      <x:c r="B5" s="9" t="str">
        <x:v>币种</x:v>
      </x:c>
      <x:c r="C5" s="9" t="str">
        <x:v>CRM含税金额</x:v>
      </x:c>
      <x:c r="D5" s="9" t="str">
        <x:v>税率</x:v>
      </x:c>
      <x:c r="E5" s="9" t="str">
        <x:v>ERP不含税金额</x:v>
      </x:c>
      <x:c r="F5" s="9" t="str">
        <x:v>ERP税额</x:v>
      </x:c>
      <x:c r="G5" s="9" t="str">
        <x:v>ERP含税复核</x:v>
      </x:c>
      <x:c r="H5" s="9" t="str">
        <x:v>汇率</x:v>
      </x:c>
      <x:c r="I5" s="9" t="str">
        <x:v>人民币折算</x:v>
      </x:c>
      <x:c r="J5" s="9" t="str">
        <x:v>幂等场景</x:v>
      </x:c>
      <x:c r="K5" s="9" t="str">
        <x:v>预期动作</x:v>
      </x:c>
      <x:c r="L5" s="9" t="str">
        <x:v>结果</x:v>
      </x:c>
    </x:row>
    <x:row r="6" ht="46" customHeight="1">
      <x:c r="A6" s="12" t="str">
        <x:v>INT-SYN-001</x:v>
      </x:c>
      <x:c r="B6" s="12" t="str">
        <x:v>CNY</x:v>
      </x:c>
      <x:c r="C6" s="15" t="n">
        <x:v>11300</x:v>
      </x:c>
      <x:c r="D6" s="15" t="n">
        <x:v>0.13</x:v>
      </x:c>
      <x:c r="E6" s="15" t="n">
        <x:f>ROUND(C6/(1+D6),2)</x:f>
        <x:v>10000</x:v>
      </x:c>
      <x:c r="F6" s="15" t="n">
        <x:f>C6-E6</x:f>
        <x:v>1300</x:v>
      </x:c>
      <x:c r="G6" s="15" t="n">
        <x:f>E6+F6</x:f>
        <x:v>11300</x:v>
      </x:c>
      <x:c r="H6" s="15" t="n">
        <x:v>1</x:v>
      </x:c>
      <x:c r="I6" s="15" t="n">
        <x:f>ROUND(C6*H6,2)</x:f>
        <x:v>11300</x:v>
      </x:c>
      <x:c r="J6" s="12" t="str">
        <x:v>首次请求</x:v>
      </x:c>
      <x:c r="K6" s="12" t="str">
        <x:v>创建订单</x:v>
      </x:c>
      <x:c r="L6" s="12" t="str">
        <x:f>IF(ABS(G6-C6)&lt;0.01,"金额通过","金额失败")</x:f>
        <x:v>金额通过</x:v>
      </x:c>
    </x:row>
    <x:row r="7" ht="46" customHeight="1">
      <x:c r="A7" s="12" t="str">
        <x:v>INT-SYN-002</x:v>
      </x:c>
      <x:c r="B7" s="12" t="str">
        <x:v>USD</x:v>
      </x:c>
      <x:c r="C7" s="15" t="n">
        <x:v>2260</x:v>
      </x:c>
      <x:c r="D7" s="15" t="n">
        <x:v>0.13</x:v>
      </x:c>
      <x:c r="E7" s="15" t="n">
        <x:f>ROUND(C7/(1+D7),2)</x:f>
        <x:v>2000</x:v>
      </x:c>
      <x:c r="F7" s="15" t="n">
        <x:f>C7-E7</x:f>
        <x:v>260</x:v>
      </x:c>
      <x:c r="G7" s="15" t="n">
        <x:f>E7+F7</x:f>
        <x:v>2260</x:v>
      </x:c>
      <x:c r="H7" s="15" t="n">
        <x:v>7.2</x:v>
      </x:c>
      <x:c r="I7" s="15" t="n">
        <x:f>ROUND(C7*H7,2)</x:f>
        <x:v>16272</x:v>
      </x:c>
      <x:c r="J7" s="12" t="str">
        <x:v>首次请求</x:v>
      </x:c>
      <x:c r="K7" s="12" t="str">
        <x:v>创建订单</x:v>
      </x:c>
      <x:c r="L7" s="12" t="str">
        <x:f>IF(ABS(G7-C7)&lt;0.01,"金额通过","金额失败")</x:f>
        <x:v>金额通过</x:v>
      </x:c>
    </x:row>
    <x:row r="8" ht="46" customHeight="1">
      <x:c r="A8" s="12" t="str">
        <x:v>INT-SYN-003</x:v>
      </x:c>
      <x:c r="B8" s="12" t="str">
        <x:v>CNY</x:v>
      </x:c>
      <x:c r="C8" s="15" t="n">
        <x:v>11300</x:v>
      </x:c>
      <x:c r="D8" s="15" t="n">
        <x:v>0.13</x:v>
      </x:c>
      <x:c r="E8" s="15" t="n">
        <x:f>ROUND(C8/(1+D8),2)</x:f>
        <x:v>10000</x:v>
      </x:c>
      <x:c r="F8" s="15" t="n">
        <x:f>C8-E8</x:f>
        <x:v>1300</x:v>
      </x:c>
      <x:c r="G8" s="15" t="n">
        <x:f>E8+F8</x:f>
        <x:v>11300</x:v>
      </x:c>
      <x:c r="H8" s="15" t="n">
        <x:v>1</x:v>
      </x:c>
      <x:c r="I8" s="15" t="n">
        <x:f>ROUND(C8*H8,2)</x:f>
        <x:v>11300</x:v>
      </x:c>
      <x:c r="J8" s="12" t="str">
        <x:v>相同业务键+相同摘要</x:v>
      </x:c>
      <x:c r="K8" s="12" t="str">
        <x:v>返回既有订单</x:v>
      </x:c>
      <x:c r="L8" s="12" t="str">
        <x:f>IF(ABS(G8-C8)&lt;0.01,"金额通过","金额失败")</x:f>
        <x:v>金额通过</x:v>
      </x:c>
    </x:row>
    <x:row r="9" ht="46" customHeight="1">
      <x:c r="A9" s="14" t="str">
        <x:v>INT-SYN-004</x:v>
      </x:c>
      <x:c r="B9" s="14" t="str">
        <x:v>CNY</x:v>
      </x:c>
      <x:c r="C9" s="16" t="n">
        <x:v>12000</x:v>
      </x:c>
      <x:c r="D9" s="16" t="n">
        <x:v>0.13</x:v>
      </x:c>
      <x:c r="E9" s="16" t="n">
        <x:f>ROUND(C9/(1+D9),2)</x:f>
        <x:v>10619.47</x:v>
      </x:c>
      <x:c r="F9" s="16" t="n">
        <x:f>C9-E9</x:f>
        <x:v>1380.5300000000007</x:v>
      </x:c>
      <x:c r="G9" s="16" t="n">
        <x:f>E9+F9</x:f>
        <x:v>12000</x:v>
      </x:c>
      <x:c r="H9" s="16" t="n">
        <x:v>1</x:v>
      </x:c>
      <x:c r="I9" s="16" t="n">
        <x:f>ROUND(C9*H9,2)</x:f>
        <x:v>12000</x:v>
      </x:c>
      <x:c r="J9" s="14" t="str">
        <x:v>相同请求键+金额变化</x:v>
      </x:c>
      <x:c r="K9" s="14" t="str">
        <x:v>409+人工核对</x:v>
      </x:c>
      <x:c r="L9" s="14" t="str">
        <x:f>IF(ABS(G9-C9)&lt;0.01,"金额通过","金额失败")</x:f>
        <x:v>金额通过</x:v>
      </x:c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38" customHeight="1">
      <x:c r="A13" s="9" t="str">
        <x:v>失败类型</x:v>
      </x:c>
      <x:c r="B13" s="9" t="str">
        <x:v>是否自动重试</x:v>
      </x:c>
      <x:c r="C13" s="9" t="str">
        <x:v>退避</x:v>
      </x:c>
      <x:c r="D13" s="9" t="str">
        <x:v>最大尝试</x:v>
      </x:c>
      <x:c r="E13" s="9" t="str">
        <x:v>耗尽后</x:v>
      </x:c>
      <x:c r="F13" s="9" t="str">
        <x:v>人工证据</x:v>
      </x:c>
      <x:c r="G13" s="1"/>
      <x:c r="H13" s="1"/>
      <x:c r="I13" s="1"/>
      <x:c r="J13" s="1"/>
      <x:c r="K13" s="1"/>
      <x:c r="L13" s="1"/>
    </x:row>
    <x:row r="14" ht="45" customHeight="1">
      <x:c r="A14" s="12" t="str">
        <x:v>400字段错误</x:v>
      </x:c>
      <x:c r="B14" s="12" t="str">
        <x:v>否</x:v>
      </x:c>
      <x:c r="C14" s="12" t="str">
        <x:v>无</x:v>
      </x:c>
      <x:c r="D14" s="12" t="n">
        <x:v>1</x:v>
      </x:c>
      <x:c r="E14" s="12" t="str">
        <x:v>数据待办</x:v>
      </x:c>
      <x:c r="F14" s="12" t="str">
        <x:v>请求摘要+字段错误</x:v>
      </x:c>
      <x:c r="G14" s="1"/>
      <x:c r="H14" s="1"/>
      <x:c r="I14" s="1"/>
      <x:c r="J14" s="1"/>
      <x:c r="K14" s="1"/>
      <x:c r="L14" s="1"/>
    </x:row>
    <x:row r="15" ht="45" customHeight="1">
      <x:c r="A15" s="12" t="str">
        <x:v>401/403认证</x:v>
      </x:c>
      <x:c r="B15" s="12" t="str">
        <x:v>刷新令牌一次</x:v>
      </x:c>
      <x:c r="C15" s="12" t="str">
        <x:v>立即</x:v>
      </x:c>
      <x:c r="D15" s="12" t="n">
        <x:v>2</x:v>
      </x:c>
      <x:c r="E15" s="12" t="str">
        <x:v>停止并告警</x:v>
      </x:c>
      <x:c r="F15" s="12" t="str">
        <x:v>认证结果</x:v>
      </x:c>
      <x:c r="G15" s="1"/>
      <x:c r="H15" s="1"/>
      <x:c r="I15" s="1"/>
      <x:c r="J15" s="1"/>
      <x:c r="K15" s="1"/>
      <x:c r="L15" s="1"/>
    </x:row>
    <x:row r="16" ht="45" customHeight="1">
      <x:c r="A16" s="12" t="str">
        <x:v>409幂等/版本冲突</x:v>
      </x:c>
      <x:c r="B16" s="12" t="str">
        <x:v>否</x:v>
      </x:c>
      <x:c r="C16" s="12" t="str">
        <x:v>无</x:v>
      </x:c>
      <x:c r="D16" s="12" t="n">
        <x:v>1</x:v>
      </x:c>
      <x:c r="E16" s="12" t="str">
        <x:v>人工核对</x:v>
      </x:c>
      <x:c r="F16" s="12" t="str">
        <x:v>双版本+请求摘要</x:v>
      </x:c>
      <x:c r="G16" s="1"/>
      <x:c r="H16" s="1"/>
      <x:c r="I16" s="1"/>
      <x:c r="J16" s="1"/>
      <x:c r="K16" s="1"/>
      <x:c r="L16" s="1"/>
    </x:row>
    <x:row r="17" ht="45" customHeight="1">
      <x:c r="A17" s="12" t="str">
        <x:v>429限流</x:v>
      </x:c>
      <x:c r="B17" s="12" t="str">
        <x:v>是</x:v>
      </x:c>
      <x:c r="C17" s="12" t="str">
        <x:v>Retry-After优先</x:v>
      </x:c>
      <x:c r="D17" s="12" t="n">
        <x:v>5</x:v>
      </x:c>
      <x:c r="E17" s="12" t="str">
        <x:v>死信+告警</x:v>
      </x:c>
      <x:c r="F17" s="12" t="str">
        <x:v>每次响应</x:v>
      </x:c>
      <x:c r="G17" s="1"/>
      <x:c r="H17" s="1"/>
      <x:c r="I17" s="1"/>
      <x:c r="J17" s="1"/>
      <x:c r="K17" s="1"/>
      <x:c r="L17" s="1"/>
    </x:row>
    <x:row r="18" ht="45" customHeight="1">
      <x:c r="A18" s="12" t="str">
        <x:v>5xx暂时失败</x:v>
      </x:c>
      <x:c r="B18" s="12" t="str">
        <x:v>是</x:v>
      </x:c>
      <x:c r="C18" s="12" t="str">
        <x:v>5秒/30秒/2分钟/10分钟</x:v>
      </x:c>
      <x:c r="D18" s="12" t="n">
        <x:v>5</x:v>
      </x:c>
      <x:c r="E18" s="12" t="str">
        <x:v>死信+告警</x:v>
      </x:c>
      <x:c r="F18" s="12" t="str">
        <x:v>每次响应</x:v>
      </x:c>
      <x:c r="G18" s="1"/>
      <x:c r="H18" s="1"/>
      <x:c r="I18" s="1"/>
      <x:c r="J18" s="1"/>
      <x:c r="K18" s="1"/>
      <x:c r="L18" s="1"/>
    </x:row>
    <x:row r="19" ht="45" customHeight="1">
      <x:c r="A19" s="12" t="str">
        <x:v>超时结果未知</x:v>
      </x:c>
      <x:c r="B19" s="12" t="str">
        <x:v>查询后决定</x:v>
      </x:c>
      <x:c r="C19" s="12" t="str">
        <x:v>先查询业务键</x:v>
      </x:c>
      <x:c r="D19" s="12" t="n">
        <x:v>5</x:v>
      </x:c>
      <x:c r="E19" s="12" t="str">
        <x:v>死信+人工核对</x:v>
      </x:c>
      <x:c r="F19" s="12" t="str">
        <x:v>查询与创建链路</x:v>
      </x:c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</x:sheetData>
  <x:mergeCells>
    <x:mergeCell ref="A2:L2"/>
    <x:mergeCell ref="A3:L3"/>
  </x:mergeCells>
  <x:pageMargins left="0.7" right="0.7" top="0.75" bottom="0.75" header="0.3" footer="0.3"/>
</x:worksheet>
</file>