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7d94538e8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口径" sheetId="1" r:id="Rd2857b36afce4636"/>
    <x:sheet xmlns:r="http://schemas.openxmlformats.org/officeDocument/2006/relationships" name="样例核对" sheetId="2" r:id="R55314d043e264648"/>
    <x:sheet xmlns:r="http://schemas.openxmlformats.org/officeDocument/2006/relationships" name="口径冲突" sheetId="3" r:id="Rfd158c564c3e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#,##0"/>
    <x:numFmt numFmtId="202" formatCode="0%"/>
    <x:numFmt numFmtId="203" formatCode="0.0%"/>
    <x:numFmt numFmtId="204" formatCode="0.0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1182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63A5F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FFF4CE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914f2c8fd4a7f" /><Relationship Type="http://schemas.openxmlformats.org/officeDocument/2006/relationships/theme" Target="/xl/theme/theme1.xml" Id="R4acc976e4e8640a0" /><Relationship Type="http://schemas.openxmlformats.org/officeDocument/2006/relationships/sharedStrings" Target="/xl/sharedStrings.xml" Id="R4e2bfb0955ba4404" /><Relationship Type="http://schemas.openxmlformats.org/officeDocument/2006/relationships/worksheet" Target="/xl/worksheets/sheet1.xml" Id="Rd2857b36afce4636" /><Relationship Type="http://schemas.openxmlformats.org/officeDocument/2006/relationships/worksheet" Target="/xl/worksheets/sheet2.xml" Id="R55314d043e264648" /><Relationship Type="http://schemas.openxmlformats.org/officeDocument/2006/relationships/worksheet" Target="/xl/worksheets/sheet3.xml" Id="Rfd158c564c3e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34" hidden="0" customWidth="1"/>
    <x:col min="4" max="4" width="42" hidden="0" customWidth="1"/>
    <x:col min="5" max="5" width="9" hidden="0" customWidth="1"/>
    <x:col min="6" max="6" width="13" hidden="0" customWidth="1"/>
    <x:col min="7" max="7" width="24" hidden="0" customWidth="1"/>
    <x:col min="8" max="8" width="15" hidden="0" customWidth="1"/>
    <x:col min="9" max="9" width="24" hidden="0" customWidth="1"/>
    <x:col min="10" max="10" width="3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经营指标口径表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版本 2026.08　适用范围 经营分析看板　口径审批 财务数据委员会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9" t="str">
        <x:v>指标编码</x:v>
      </x:c>
      <x:c r="B5" s="9" t="str">
        <x:v>展示名称</x:v>
      </x:c>
      <x:c r="C5" s="9" t="str">
        <x:v>业务定义</x:v>
      </x:c>
      <x:c r="D5" s="9" t="str">
        <x:v>计算公式</x:v>
      </x:c>
      <x:c r="E5" s="9" t="str">
        <x:v>单位</x:v>
      </x:c>
      <x:c r="F5" s="9" t="str">
        <x:v>统计周期</x:v>
      </x:c>
      <x:c r="G5" s="9" t="str">
        <x:v>数据源</x:v>
      </x:c>
      <x:c r="H5" s="9" t="str">
        <x:v>负责人</x:v>
      </x:c>
      <x:c r="I5" s="9" t="str">
        <x:v>适用范围</x:v>
      </x:c>
      <x:c r="J5" s="9" t="str">
        <x:v>限制说明</x:v>
      </x:c>
      <x:c r="K5" s="1"/>
    </x:row>
    <x:row r="6" ht="54" customHeight="1">
      <x:c r="A6" s="13" t="str">
        <x:v>KPI-001</x:v>
      </x:c>
      <x:c r="B6" s="13" t="str">
        <x:v>管理销售额</x:v>
      </x:c>
      <x:c r="C6" s="12" t="str">
        <x:v>已完成结算的商品收入，扣除退货并剔除增值税</x:v>
      </x:c>
      <x:c r="D6" s="12" t="str">
        <x:v>(订单提交含税金额-退货含税金额)/(1+增值税率)</x:v>
      </x:c>
      <x:c r="E6" s="13" t="str">
        <x:v>元</x:v>
      </x:c>
      <x:c r="F6" s="13" t="str">
        <x:v>自然月</x:v>
      </x:c>
      <x:c r="G6" s="12" t="str">
        <x:v>财务结算事实表</x:v>
      </x:c>
      <x:c r="H6" s="13" t="str">
        <x:v>财务分析组</x:v>
      </x:c>
      <x:c r="I6" s="12" t="str">
        <x:v>经营管理与财务复盘</x:v>
      </x:c>
      <x:c r="J6" s="12" t="str">
        <x:v>T+1；退货按财务入账月冲减</x:v>
      </x:c>
      <x:c r="K6" s="1"/>
    </x:row>
    <x:row r="7" ht="54" customHeight="1">
      <x:c r="A7" s="13" t="str">
        <x:v>KPI-002</x:v>
      </x:c>
      <x:c r="B7" s="13" t="str">
        <x:v>运营下单金额</x:v>
      </x:c>
      <x:c r="C7" s="12" t="str">
        <x:v>订单提交时的含税金额，尚未扣除退货</x:v>
      </x:c>
      <x:c r="D7" s="12" t="str">
        <x:v>订单提交含税金额</x:v>
      </x:c>
      <x:c r="E7" s="13" t="str">
        <x:v>元</x:v>
      </x:c>
      <x:c r="F7" s="13" t="str">
        <x:v>自然月</x:v>
      </x:c>
      <x:c r="G7" s="12" t="str">
        <x:v>订单中心</x:v>
      </x:c>
      <x:c r="H7" s="13" t="str">
        <x:v>销售运营组</x:v>
      </x:c>
      <x:c r="I7" s="12" t="str">
        <x:v>订单运营监控</x:v>
      </x:c>
      <x:c r="J7" s="12" t="str">
        <x:v>不得简称为管理销售额</x:v>
      </x:c>
      <x:c r="K7" s="1"/>
    </x:row>
    <x:row r="8" ht="54" customHeight="1">
      <x:c r="A8" s="13" t="str">
        <x:v>KPI-003</x:v>
      </x:c>
      <x:c r="B8" s="13" t="str">
        <x:v>毛利率</x:v>
      </x:c>
      <x:c r="C8" s="12" t="str">
        <x:v>管理销售额扣除主营业务成本后的比例</x:v>
      </x:c>
      <x:c r="D8" s="12" t="str">
        <x:v>(管理销售额-主营业务成本)/管理销售额</x:v>
      </x:c>
      <x:c r="E8" s="13" t="str">
        <x:v>%</x:v>
      </x:c>
      <x:c r="F8" s="13" t="str">
        <x:v>自然月</x:v>
      </x:c>
      <x:c r="G8" s="12" t="str">
        <x:v>财务结算事实表；ERP成本表</x:v>
      </x:c>
      <x:c r="H8" s="13" t="str">
        <x:v>财务分析组</x:v>
      </x:c>
      <x:c r="I8" s="12" t="str">
        <x:v>经营管理与财务复盘</x:v>
      </x:c>
      <x:c r="J8" s="12" t="str">
        <x:v>仅财务授权角色可见</x:v>
      </x:c>
      <x:c r="K8" s="1"/>
    </x:row>
    <x:row r="9" ht="54" customHeight="1">
      <x:c r="A9" s="13" t="str">
        <x:v>KPI-004</x:v>
      </x:c>
      <x:c r="B9" s="13" t="str">
        <x:v>客户复购率</x:v>
      </x:c>
      <x:c r="C9" s="12" t="str">
        <x:v>滚动90天内完成订单不少于2笔的统一客户数占至少完成1笔订单统一客户数的比例</x:v>
      </x:c>
      <x:c r="D9" s="12" t="str">
        <x:v>复购统一客户数/有购统一客户数</x:v>
      </x:c>
      <x:c r="E9" s="13" t="str">
        <x:v>%</x:v>
      </x:c>
      <x:c r="F9" s="13" t="str">
        <x:v>滚动90天</x:v>
      </x:c>
      <x:c r="G9" s="12" t="str">
        <x:v>CRM统一客户；订单中心</x:v>
      </x:c>
      <x:c r="H9" s="13" t="str">
        <x:v>客户运营组</x:v>
      </x:c>
      <x:c r="I9" s="12" t="str">
        <x:v>客户经营分析</x:v>
      </x:c>
      <x:c r="J9" s="12" t="str">
        <x:v>先按CRM统一客户ID合并渠道账号</x:v>
      </x:c>
      <x:c r="K9" s="1"/>
    </x:row>
    <x:row r="10" ht="54" customHeight="1">
      <x:c r="A10" s="13" t="str">
        <x:v>KPI-005</x:v>
      </x:c>
      <x:c r="B10" s="13" t="str">
        <x:v>库存周转天数</x:v>
      </x:c>
      <x:c r="C10" s="12" t="str">
        <x:v>期末与期初库存平均余额相对滚动90天主营业务成本的占用天数</x:v>
      </x:c>
      <x:c r="D10" s="12" t="str">
        <x:v>平均库存余额/滚动90天主营业务成本*90</x:v>
      </x:c>
      <x:c r="E10" s="13" t="str">
        <x:v>天</x:v>
      </x:c>
      <x:c r="F10" s="13" t="str">
        <x:v>滚动90天</x:v>
      </x:c>
      <x:c r="G10" s="12" t="str">
        <x:v>ERP库存；ERP成本表</x:v>
      </x:c>
      <x:c r="H10" s="13" t="str">
        <x:v>供应链分析组</x:v>
      </x:c>
      <x:c r="I10" s="12" t="str">
        <x:v>库存经营分析</x:v>
      </x:c>
      <x:c r="J10" s="12" t="str">
        <x:v>寄售库存不纳入首期</x:v>
      </x:c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J2"/>
    <x:mergeCell ref="A3:J3"/>
  </x:mergeCells>
  <x:conditionalFormatting sqref="A6:J10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20" hidden="0" customWidth="1"/>
    <x:col min="6" max="6" width="20" hidden="0" customWidth="1"/>
    <x:col min="7" max="7" width="14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2026年8月指标样例核对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本页用于核对同一批输入在管理口径与运营口径下的差异。金额单位为元。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9" t="str">
        <x:v>月份</x:v>
      </x:c>
      <x:c r="B5" s="9" t="str">
        <x:v>订单提交含税金额</x:v>
      </x:c>
      <x:c r="C5" s="9" t="str">
        <x:v>退货含税金额</x:v>
      </x:c>
      <x:c r="D5" s="9" t="str">
        <x:v>增值税率</x:v>
      </x:c>
      <x:c r="E5" s="9" t="str">
        <x:v>管理销售额</x:v>
      </x:c>
      <x:c r="F5" s="9" t="str">
        <x:v>主营业务成本</x:v>
      </x:c>
      <x:c r="G5" s="9" t="str">
        <x:v>毛利率</x:v>
      </x:c>
      <x:c r="H5" s="9" t="str">
        <x:v>运营下单金额</x:v>
      </x:c>
      <x:c r="I5" s="1"/>
      <x:c r="J5" s="1"/>
      <x:c r="K5" s="1"/>
    </x:row>
    <x:row r="6" ht="28" customHeight="1">
      <x:c r="A6" s="15" t="n">
        <x:v>46174</x:v>
      </x:c>
      <x:c r="B6" s="16" t="n">
        <x:v>11600000</x:v>
      </x:c>
      <x:c r="C6" s="16" t="n">
        <x:v>400000</x:v>
      </x:c>
      <x:c r="D6" s="17" t="n">
        <x:v>0.13</x:v>
      </x:c>
      <x:c r="E6" s="16" t="n">
        <x:f>(B6-C6)/(1+D6)</x:f>
        <x:v>9911504.424778761</x:v>
      </x:c>
      <x:c r="F6" s="16" t="n">
        <x:v>6830000</x:v>
      </x:c>
      <x:c r="G6" s="18" t="n">
        <x:f>(E6-F6)/E6</x:f>
        <x:v>0.3109017857142857</x:v>
      </x:c>
      <x:c r="H6" s="16" t="n">
        <x:f>B6</x:f>
        <x:v>11600000</x:v>
      </x:c>
      <x:c r="I6" s="1"/>
      <x:c r="J6" s="1"/>
      <x:c r="K6" s="1"/>
    </x:row>
    <x:row r="7" ht="28" customHeight="1">
      <x:c r="A7" s="15" t="n">
        <x:v>46204</x:v>
      </x:c>
      <x:c r="B7" s="16" t="n">
        <x:v>12200000</x:v>
      </x:c>
      <x:c r="C7" s="16" t="n">
        <x:v>500000</x:v>
      </x:c>
      <x:c r="D7" s="17" t="n">
        <x:v>0.13</x:v>
      </x:c>
      <x:c r="E7" s="16" t="n">
        <x:f>(B7-C7)/(1+D7)</x:f>
        <x:v>10353982.300884956</x:v>
      </x:c>
      <x:c r="F7" s="16" t="n">
        <x:v>7200000</x:v>
      </x:c>
      <x:c r="G7" s="18" t="n">
        <x:f>(E7-F7)/E7</x:f>
        <x:v>0.3046153846153847</x:v>
      </x:c>
      <x:c r="H7" s="16" t="n">
        <x:f>B7</x:f>
        <x:v>12200000</x:v>
      </x:c>
      <x:c r="I7" s="1"/>
      <x:c r="J7" s="1"/>
      <x:c r="K7" s="1"/>
    </x:row>
    <x:row r="8" ht="28" customHeight="1">
      <x:c r="A8" s="15" t="n">
        <x:v>46235</x:v>
      </x:c>
      <x:c r="B8" s="16" t="n">
        <x:v>12600000</x:v>
      </x:c>
      <x:c r="C8" s="16" t="n">
        <x:v>300000</x:v>
      </x:c>
      <x:c r="D8" s="17" t="n">
        <x:v>0.13</x:v>
      </x:c>
      <x:c r="E8" s="16" t="n">
        <x:f>(B8-C8)/(1+D8)</x:f>
        <x:v>10884955.75221239</x:v>
      </x:c>
      <x:c r="F8" s="16" t="n">
        <x:v>7465000</x:v>
      </x:c>
      <x:c r="G8" s="18" t="n">
        <x:f>(E8-F8)/E8</x:f>
        <x:v>0.31419105691056914</x:v>
      </x:c>
      <x:c r="H8" s="16" t="n">
        <x:f>B8</x:f>
        <x:v>12600000</x:v>
      </x:c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30" customHeight="1">
      <x:c r="A10" s="21" t="str">
        <x:v>滚动90天有购统一客户数</x:v>
      </x:c>
      <x:c r="B10" s="16" t="n">
        <x:v>2100</x:v>
      </x:c>
      <x:c r="C10" s="23" t="str">
        <x:v>滚动90天复购统一客户数</x:v>
      </x:c>
      <x:c r="D10" s="16" t="n">
        <x:v>900</x:v>
      </x:c>
      <x:c r="E10" s="21" t="str">
        <x:v>客户复购率</x:v>
      </x:c>
      <x:c r="F10" s="18" t="n">
        <x:f>D10/B10</x:f>
        <x:v>0.42857142857142855</x:v>
      </x:c>
      <x:c r="G10" s="1"/>
      <x:c r="H10" s="1"/>
      <x:c r="I10" s="1"/>
      <x:c r="J10" s="1"/>
      <x:c r="K10" s="1"/>
    </x:row>
    <x:row r="11" ht="30" customHeight="1">
      <x:c r="A11" s="21" t="str">
        <x:v>平均库存余额</x:v>
      </x:c>
      <x:c r="B11" s="16" t="n">
        <x:v>45000000</x:v>
      </x:c>
      <x:c r="C11" s="23" t="str">
        <x:v>滚动90天主营业务成本</x:v>
      </x:c>
      <x:c r="D11" s="16" t="n">
        <x:v>75000000</x:v>
      </x:c>
      <x:c r="E11" s="21" t="str">
        <x:v>库存周转天数</x:v>
      </x:c>
      <x:c r="F11" s="19" t="n">
        <x:f>B11/D11*90</x:f>
        <x:v>54</x:v>
      </x:c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36" hidden="0" customWidth="1"/>
    <x:col min="4" max="4" width="36" hidden="0" customWidth="1"/>
    <x:col min="5" max="5" width="42" hidden="0" customWidth="1"/>
    <x:col min="6" max="6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已知口径冲突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9" t="str">
        <x:v>冲突编号</x:v>
      </x:c>
      <x:c r="B4" s="9" t="str">
        <x:v>涉及名称</x:v>
      </x:c>
      <x:c r="C4" s="9" t="str">
        <x:v>材料A</x:v>
      </x:c>
      <x:c r="D4" s="9" t="str">
        <x:v>材料B</x:v>
      </x:c>
      <x:c r="E4" s="9" t="str">
        <x:v>处理要求</x:v>
      </x:c>
      <x:c r="F4" s="9" t="str">
        <x:v>锁定状态</x:v>
      </x:c>
      <x:c r="G4" s="1"/>
      <x:c r="H4" s="1"/>
      <x:c r="I4" s="1"/>
      <x:c r="J4" s="1"/>
      <x:c r="K4" s="1"/>
    </x:row>
    <x:row r="5" ht="64" customHeight="1">
      <x:c r="A5" s="13" t="str">
        <x:v>CONFLICT-001</x:v>
      </x:c>
      <x:c r="B5" s="13" t="str">
        <x:v>销售额</x:v>
      </x:c>
      <x:c r="C5" s="12" t="str">
        <x:v>指标口径表：管理销售额为扣退货且不含税的已结算收入</x:v>
      </x:c>
      <x:c r="D5" s="12" t="str">
        <x:v>看板截图：销售额为订单提交含税金额，未扣退货</x:v>
      </x:c>
      <x:c r="E5" s="12" t="str">
        <x:v>正式方案必须并列说明两种口径；对外展示改名，不得擅自合并</x:v>
      </x:c>
      <x:c r="F5" s="26" t="str">
        <x:v>待财务数据委员会确认</x:v>
      </x:c>
      <x:c r="G5" s="1"/>
      <x:c r="H5" s="1"/>
      <x:c r="I5" s="1"/>
      <x:c r="J5" s="1"/>
      <x:c r="K5" s="1"/>
    </x:row>
    <x:row r="6" ht="64" customHeight="1">
      <x:c r="A6" s="13" t="str">
        <x:v>CONFLICT-002</x:v>
      </x:c>
      <x:c r="B6" s="13" t="str">
        <x:v>客户</x:v>
      </x:c>
      <x:c r="C6" s="12" t="str">
        <x:v>CRM以统一客户ID为主</x:v>
      </x:c>
      <x:c r="D6" s="12" t="str">
        <x:v>订单中心按渠道账号统计</x:v>
      </x:c>
      <x:c r="E6" s="12" t="str">
        <x:v>复购率计算前必须完成账号归并；无法归并的记录列入数据质量清单</x:v>
      </x:c>
      <x:c r="F6" s="26" t="str">
        <x:v>CRM统一客户ID为主</x:v>
      </x:c>
      <x:c r="G6" s="1"/>
      <x:c r="H6" s="1"/>
      <x:c r="I6" s="1"/>
      <x:c r="J6" s="1"/>
      <x:c r="K6" s="1"/>
    </x:row>
    <x:row r="7" ht="64" customHeight="1">
      <x:c r="A7" s="13" t="str">
        <x:v>CONFLICT-003</x:v>
      </x:c>
      <x:c r="B7" s="13" t="str">
        <x:v>刷新时间</x:v>
      </x:c>
      <x:c r="C7" s="12" t="str">
        <x:v>数据源说明要求T+1 08:30前完成</x:v>
      </x:c>
      <x:c r="D7" s="12" t="str">
        <x:v>当前截图显示09:05更新</x:v>
      </x:c>
      <x:c r="E7" s="12" t="str">
        <x:v>记录延迟并展示数据新鲜度，不得宣称实时</x:v>
      </x:c>
      <x:c r="F7" s="26" t="str">
        <x:v>T+1批处理</x:v>
      </x:c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F2"/>
  </x:mergeCells>
  <x:pageMargins left="0.7" right="0.7" top="0.75" bottom="0.75" header="0.3" footer="0.3"/>
</x:worksheet>
</file>