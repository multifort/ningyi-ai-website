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Id4"/>
    <x:sheet xmlns:r="http://schemas.openxmlformats.org/officeDocument/2006/relationships" name="角色工作量" sheetId="2" r:id="rId5"/>
    <x:sheet xmlns:r="http://schemas.openxmlformats.org/officeDocument/2006/relationships" name="里程碑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#,##0"/>
    <x:numFmt numFmtId="203" formatCode="yyyy-mm-dd"/>
  </x:numFmts>
  <x:fonts count="4">
    <x:font>
      <x:sz val="11"/>
      <x:name val="Carlito"/>
    </x:font>
    <x:font>
      <x:sz val="10"/>
      <x:color rgb="FF243B53"/>
      <x:name val="Noto Sans CJK SC"/>
    </x:font>
    <x:font>
      <x:b/>
      <x:sz val="10"/>
      <x:color rgb="FFFFFFFF"/>
      <x:name val="Noto Sans CJK SC"/>
    </x:font>
    <x:font>
      <x:b/>
      <x:sz val="16"/>
      <x:color rgb="FF17365D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7365D"/>
      </a:accent1>
      <a:accent2>
        <a:srgbClr val="1F7A8C"/>
      </a:accent2>
      <a:accent3>
        <a:srgbClr val="EAF3F7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2" hidden="0" customWidth="1"/>
  </x:cols>
  <x:sheetData>
    <x:row r="2" ht="15" hidden="0" customHeight="1">
      <x:c r="A2" s="11" t="str">
        <x:v>项目工作量与报价基线</x:v>
      </x:c>
      <x:c r="B2" s="11"/>
      <x:c r="C2" s="12"/>
      <x:c r="D2" s="12"/>
    </x:row>
    <x:row r="3" ht="15" hidden="0" customHeight="1">
      <x:c r="A3" s="8"/>
      <x:c r="B3" s="8"/>
    </x:row>
    <x:row r="4" ht="15" hidden="0" customHeight="1">
      <x:c r="A4" s="14" t="str">
        <x:v>指标</x:v>
      </x:c>
      <x:c r="B4" s="14" t="str">
        <x:v>数值</x:v>
      </x:c>
    </x:row>
    <x:row r="5" ht="15" hidden="0" customHeight="1">
      <x:c r="A5" s="8" t="str">
        <x:v>注册用户</x:v>
      </x:c>
      <x:c r="B5" s="8" t="n">
        <x:v>260</x:v>
      </x:c>
    </x:row>
    <x:row r="6" ht="15" hidden="0" customHeight="1">
      <x:c r="A6" s="8" t="str">
        <x:v>基准工作量（人天）</x:v>
      </x:c>
      <x:c r="B6" s="8" t="n">
        <x:v>324</x:v>
      </x:c>
    </x:row>
    <x:row r="7" ht="15" hidden="0" customHeight="1">
      <x:c r="A7" s="8" t="str">
        <x:v>风险储备率</x:v>
      </x:c>
      <x:c r="B7" s="15" t="n">
        <x:v>0.12</x:v>
      </x:c>
    </x:row>
    <x:row r="8" ht="15" hidden="0" customHeight="1">
      <x:c r="A8" s="8" t="str">
        <x:v>税率</x:v>
      </x:c>
      <x:c r="B8" s="15" t="n">
        <x:v>0.06</x:v>
      </x:c>
    </x:row>
    <x:row r="9" ht="15" hidden="0" customHeight="1">
      <x:c r="A9" s="8" t="str">
        <x:v>角色未税小计</x:v>
      </x:c>
      <x:c r="B9" s="16" t="n">
        <x:f>SUM('角色工作量'!D2:D6)</x:f>
        <x:v>519600</x:v>
      </x:c>
    </x:row>
    <x:row r="10" ht="15" hidden="0" customHeight="1">
      <x:c r="A10" s="8" t="str">
        <x:v>含风险未税金额</x:v>
      </x:c>
      <x:c r="B10" s="16" t="n">
        <x:f>B9*(1+B7)</x:f>
        <x:v>581952</x:v>
      </x:c>
    </x:row>
    <x:row r="11" ht="15" hidden="0" customHeight="1">
      <x:c r="A11" s="8" t="str">
        <x:v>含税总额</x:v>
      </x:c>
      <x:c r="B11" s="16" t="n">
        <x:f>B10*(1+B8)</x:f>
        <x:v>616869.12</x:v>
      </x:c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</x:cols>
  <x:sheetData>
    <x:row r="1" ht="15" hidden="0" customHeight="1">
      <x:c r="A1" s="7" t="str">
        <x:v>角色</x:v>
      </x:c>
      <x:c r="B1" s="7" t="str">
        <x:v>人天</x:v>
      </x:c>
      <x:c r="C1" s="7" t="str">
        <x:v>日单价（元）</x:v>
      </x:c>
      <x:c r="D1" s="7" t="str">
        <x:v>小计（元）</x:v>
      </x:c>
    </x:row>
    <x:row r="2" ht="15" hidden="0" customHeight="1">
      <x:c r="A2" s="8" t="str">
        <x:v>产品经理</x:v>
      </x:c>
      <x:c r="B2" s="17" t="n">
        <x:v>48</x:v>
      </x:c>
      <x:c r="C2" s="16" t="n">
        <x:v>1800</x:v>
      </x:c>
      <x:c r="D2" s="16" t="n">
        <x:f>B2*C2</x:f>
        <x:v>86400</x:v>
      </x:c>
    </x:row>
    <x:row r="3" ht="15" hidden="0" customHeight="1">
      <x:c r="A3" s="8" t="str">
        <x:v>架构师</x:v>
      </x:c>
      <x:c r="B3" s="17" t="n">
        <x:v>42</x:v>
      </x:c>
      <x:c r="C3" s="16" t="n">
        <x:v>2200</x:v>
      </x:c>
      <x:c r="D3" s="16" t="n">
        <x:f>B3*C3</x:f>
        <x:v>92400</x:v>
      </x:c>
    </x:row>
    <x:row r="4" ht="15" hidden="0" customHeight="1">
      <x:c r="A4" s="8" t="str">
        <x:v>后端工程师</x:v>
      </x:c>
      <x:c r="B4" s="17" t="n">
        <x:v>96</x:v>
      </x:c>
      <x:c r="C4" s="16" t="n">
        <x:v>1600</x:v>
      </x:c>
      <x:c r="D4" s="16" t="n">
        <x:f>B4*C4</x:f>
        <x:v>153600</x:v>
      </x:c>
    </x:row>
    <x:row r="5" ht="15" hidden="0" customHeight="1">
      <x:c r="A5" s="8" t="str">
        <x:v>前端工程师</x:v>
      </x:c>
      <x:c r="B5" s="17" t="n">
        <x:v>72</x:v>
      </x:c>
      <x:c r="C5" s="16" t="n">
        <x:v>1500</x:v>
      </x:c>
      <x:c r="D5" s="16" t="n">
        <x:f>B5*C5</x:f>
        <x:v>108000</x:v>
      </x:c>
    </x:row>
    <x:row r="6" ht="15" hidden="0" customHeight="1">
      <x:c r="A6" s="8" t="str">
        <x:v>测试工程师</x:v>
      </x:c>
      <x:c r="B6" s="17" t="n">
        <x:v>66</x:v>
      </x:c>
      <x:c r="C6" s="16" t="n">
        <x:v>1200</x:v>
      </x:c>
      <x:c r="D6" s="16" t="n">
        <x:f>B6*C6</x:f>
        <x:v>79200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2" hidden="0" customWidth="1"/>
  </x:cols>
  <x:sheetData>
    <x:row r="1" ht="15" hidden="0" customHeight="1">
      <x:c r="A1" s="7" t="str">
        <x:v>里程碑</x:v>
      </x:c>
      <x:c r="B1" s="7" t="str">
        <x:v>计划日期</x:v>
      </x:c>
      <x:c r="C1" s="7" t="str">
        <x:v>退出条件</x:v>
      </x:c>
      <x:c r="D1" s="7" t="str">
        <x:v>状态</x:v>
      </x:c>
    </x:row>
    <x:row r="2" ht="15" hidden="0" customHeight="1">
      <x:c r="A2" s="8" t="str">
        <x:v>需求基线</x:v>
      </x:c>
      <x:c r="B2" s="18" t="n">
        <x:v>46726</x:v>
      </x:c>
      <x:c r="C2" s="8" t="str">
        <x:v>关键需求和来源确认</x:v>
      </x:c>
      <x:c r="D2" s="8" t="str">
        <x:v>计划</x:v>
      </x:c>
    </x:row>
    <x:row r="3" ht="15" hidden="0" customHeight="1">
      <x:c r="A3" s="8" t="str">
        <x:v>方案评审</x:v>
      </x:c>
      <x:c r="B3" s="18" t="n">
        <x:v>46767</x:v>
      </x:c>
      <x:c r="C3" s="8" t="str">
        <x:v>架构与工作量通过评审</x:v>
      </x:c>
      <x:c r="D3" s="8" t="str">
        <x:v>计划</x:v>
      </x:c>
    </x:row>
    <x:row r="4" ht="15" hidden="0" customHeight="1">
      <x:c r="A4" s="8" t="str">
        <x:v>开发完成</x:v>
      </x:c>
      <x:c r="B4" s="18" t="n">
        <x:v>46848</x:v>
      </x:c>
      <x:c r="C4" s="8" t="str">
        <x:v>阻断缺陷为零</x:v>
      </x:c>
      <x:c r="D4" s="8" t="str">
        <x:v>计划</x:v>
      </x:c>
    </x:row>
    <x:row r="5" ht="15" hidden="0" customHeight="1">
      <x:c r="A5" s="8" t="str">
        <x:v>试运行</x:v>
      </x:c>
      <x:c r="B5" s="18" t="n">
        <x:v>46878</x:v>
      </x:c>
      <x:c r="C5" s="8" t="str">
        <x:v>连续运行和恢复演练通过</x:v>
      </x:c>
      <x:c r="D5" s="8" t="str">
        <x:v>计划</x:v>
      </x:c>
    </x:row>
    <x:row r="6" ht="15" hidden="0" customHeight="1">
      <x:c r="A6" s="8" t="str">
        <x:v>正式上线</x:v>
      </x:c>
      <x:c r="B6" s="18" t="n">
        <x:v>46904</x:v>
      </x:c>
      <x:c r="C6" s="8" t="str">
        <x:v>验收和回退方案签字</x:v>
      </x:c>
      <x:c r="D6" s="8" t="str">
        <x:v>计划</x:v>
      </x:c>
    </x:row>
  </x:sheetData>
  <x:pageMargins left="0.7" right="0.7" top="0.75" bottom="0.75" header="0.3" footer="0.3"/>
</x:worksheet>
</file>