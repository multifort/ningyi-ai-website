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源清单" state="visible" r:id="rId4"/>
    <sheet sheetId="2" name="容量参数" state="visible" r:id="rId5"/>
    <sheet sheetId="3" name="外部成本边界" state="visible" r:id="rId6"/>
  </sheets>
  <definedNames>
    <definedName name="_xlnm.Print_Titles" localSheetId="0">'资源清单'!$1:$1</definedName>
    <definedName name="_xlnm.Print_Titles" localSheetId="1">'容量参数'!$1:$1</definedName>
    <definedName name="_xlnm.Print_Titles" localSheetId="2">'外部成本边界'!$1:$1</definedName>
  </definedNames>
  <calcPr calcId="171027"/>
</workbook>
</file>

<file path=xl/sharedStrings.xml><?xml version="1.0" encoding="utf-8"?>
<sst xmlns="http://schemas.openxmlformats.org/spreadsheetml/2006/main" count="99" uniqueCount="80">
  <si>
    <t>资源层</t>
  </si>
  <si>
    <t>组件</t>
  </si>
  <si>
    <t>数量</t>
  </si>
  <si>
    <t>单节点 vCPU</t>
  </si>
  <si>
    <t>单节点内存 GB</t>
  </si>
  <si>
    <t>单节点可用存储 TB</t>
  </si>
  <si>
    <t>部署说明</t>
  </si>
  <si>
    <t>接入区</t>
  </si>
  <si>
    <t>WAF/API 网关</t>
  </si>
  <si>
    <t>双机；仅开放 443</t>
  </si>
  <si>
    <t>应用区</t>
  </si>
  <si>
    <t>Web/API</t>
  </si>
  <si>
    <t>跨 3 台计算节点</t>
  </si>
  <si>
    <t>Worker</t>
  </si>
  <si>
    <t>单用户并发不超过总量 25%</t>
  </si>
  <si>
    <t>数据区</t>
  </si>
  <si>
    <t>PostgreSQL</t>
  </si>
  <si>
    <t>同步高可用；另设 1 个仲裁节点</t>
  </si>
  <si>
    <t>PostgreSQL 仲裁</t>
  </si>
  <si>
    <t>不得承载业务数据</t>
  </si>
  <si>
    <t>私有 MinIO</t>
  </si>
  <si>
    <t>4 节点纠删码；私有 Bucket</t>
  </si>
  <si>
    <t>安全区</t>
  </si>
  <si>
    <t>恶意文件扫描</t>
  </si>
  <si>
    <t>quarantine 扫描后转正式 Bucket</t>
  </si>
  <si>
    <t>运维区</t>
  </si>
  <si>
    <t>监控与日志</t>
  </si>
  <si>
    <t>指标、日志、告警与审计</t>
  </si>
  <si>
    <t>备份区</t>
  </si>
  <si>
    <t>备份节点</t>
  </si>
  <si>
    <t>数据库、对象和配置备份</t>
  </si>
  <si>
    <t>参数</t>
  </si>
  <si>
    <t>数值</t>
  </si>
  <si>
    <t>单位/公式</t>
  </si>
  <si>
    <t>责任来源</t>
  </si>
  <si>
    <t>一期注册用户</t>
  </si>
  <si>
    <t>人</t>
  </si>
  <si>
    <t>项目 Intake</t>
  </si>
  <si>
    <t>峰值并发</t>
  </si>
  <si>
    <t>安全要求</t>
  </si>
  <si>
    <t>每日新增文件</t>
  </si>
  <si>
    <t>个</t>
  </si>
  <si>
    <t>单文件最大值</t>
  </si>
  <si>
    <t>MB</t>
  </si>
  <si>
    <t>日均原始新增量</t>
  </si>
  <si>
    <t>GB/日</t>
  </si>
  <si>
    <t>在线保留</t>
  </si>
  <si>
    <t>天</t>
  </si>
  <si>
    <t>派生与版本系数</t>
  </si>
  <si>
    <t>倍</t>
  </si>
  <si>
    <t>容量规则</t>
  </si>
  <si>
    <t>MinIO 冗余系数</t>
  </si>
  <si>
    <t>余量系数</t>
  </si>
  <si>
    <t>一年对象存储原始量</t>
  </si>
  <si>
    <t>TB = 日均 GB × 在线天数 ÷ 1024</t>
  </si>
  <si>
    <t>确定性公式</t>
  </si>
  <si>
    <t>一年对象存储规划容量</t>
  </si>
  <si>
    <t>TB = 原始量 × 1.35 × 1.5 × 1.2</t>
  </si>
  <si>
    <t>类别</t>
  </si>
  <si>
    <t>责任方</t>
  </si>
  <si>
    <t>是否含软件实施报价</t>
  </si>
  <si>
    <t>说明</t>
  </si>
  <si>
    <t>服务器与存储硬件</t>
  </si>
  <si>
    <t>客户</t>
  </si>
  <si>
    <t>否</t>
  </si>
  <si>
    <t>按资源清单采购或复用</t>
  </si>
  <si>
    <t>KMS/HSM</t>
  </si>
  <si>
    <t>密钥托管与轮换</t>
  </si>
  <si>
    <t>WAF、堡垒机、杀毒引擎</t>
  </si>
  <si>
    <t>客户/第三方</t>
  </si>
  <si>
    <t>须提供可调用接口与许可</t>
  </si>
  <si>
    <t>备份介质与异地链路</t>
  </si>
  <si>
    <t>满足 35 天保留和恢复演练</t>
  </si>
  <si>
    <t>平台软件实施与联调</t>
  </si>
  <si>
    <t>实施方</t>
  </si>
  <si>
    <t>是</t>
  </si>
  <si>
    <t>以正式报价工作包为准</t>
  </si>
  <si>
    <t>容量扩展</t>
  </si>
  <si>
    <t>双方确认</t>
  </si>
  <si>
    <t>达到 70% 水位触发评估，不自动采购或扩容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</si>
</sst>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Noto Sans CJK SC"/>
    </font>
    <font>
      <name val="Noto Sans CJK SC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0" customWidth="1"/>
    <col min="4" max="4" width="14" customWidth="1"/>
    <col min="5" max="5" width="16" customWidth="1"/>
    <col min="6" max="6" width="20" customWidth="1"/>
    <col min="7" max="7" width="48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>
        <v>2</v>
      </c>
      <c r="D2" s="2">
        <v>4</v>
      </c>
      <c r="E2" s="2">
        <v>8</v>
      </c>
      <c r="F2" s="2">
        <v>0.2</v>
      </c>
      <c r="G2" s="2" t="s">
        <v>9</v>
      </c>
    </row>
    <row r="3" spans="1:7" s="2" customFormat="1" x14ac:dyDescent="0.25">
      <c r="A3" s="2" t="s">
        <v>10</v>
      </c>
      <c r="B3" s="2" t="s">
        <v>11</v>
      </c>
      <c r="C3" s="2">
        <v>3</v>
      </c>
      <c r="D3" s="2">
        <v>8</v>
      </c>
      <c r="E3" s="2">
        <v>16</v>
      </c>
      <c r="F3" s="2">
        <v>0.2</v>
      </c>
      <c r="G3" s="2" t="s">
        <v>12</v>
      </c>
    </row>
    <row r="4" spans="1:7" s="2" customFormat="1" x14ac:dyDescent="0.25">
      <c r="A4" s="2" t="s">
        <v>10</v>
      </c>
      <c r="B4" s="2" t="s">
        <v>13</v>
      </c>
      <c r="C4" s="2">
        <v>4</v>
      </c>
      <c r="D4" s="2">
        <v>16</v>
      </c>
      <c r="E4" s="2">
        <v>32</v>
      </c>
      <c r="F4" s="2">
        <v>0.5</v>
      </c>
      <c r="G4" s="2" t="s">
        <v>14</v>
      </c>
    </row>
    <row r="5" spans="1:7" s="2" customFormat="1" x14ac:dyDescent="0.25">
      <c r="A5" s="2" t="s">
        <v>15</v>
      </c>
      <c r="B5" s="2" t="s">
        <v>16</v>
      </c>
      <c r="C5" s="2">
        <v>2</v>
      </c>
      <c r="D5" s="2">
        <v>16</v>
      </c>
      <c r="E5" s="2">
        <v>64</v>
      </c>
      <c r="F5" s="2">
        <v>2</v>
      </c>
      <c r="G5" s="2" t="s">
        <v>17</v>
      </c>
    </row>
    <row r="6" spans="1:7" s="2" customFormat="1" x14ac:dyDescent="0.25">
      <c r="A6" s="2" t="s">
        <v>15</v>
      </c>
      <c r="B6" s="2" t="s">
        <v>18</v>
      </c>
      <c r="C6" s="2">
        <v>1</v>
      </c>
      <c r="D6" s="2">
        <v>2</v>
      </c>
      <c r="E6" s="2">
        <v>4</v>
      </c>
      <c r="F6" s="2">
        <v>0.1</v>
      </c>
      <c r="G6" s="2" t="s">
        <v>19</v>
      </c>
    </row>
    <row r="7" spans="1:7" s="2" customFormat="1" x14ac:dyDescent="0.25">
      <c r="A7" s="2" t="s">
        <v>15</v>
      </c>
      <c r="B7" s="2" t="s">
        <v>20</v>
      </c>
      <c r="C7" s="2">
        <v>4</v>
      </c>
      <c r="D7" s="2">
        <v>16</v>
      </c>
      <c r="E7" s="2">
        <v>64</v>
      </c>
      <c r="F7" s="2">
        <v>24</v>
      </c>
      <c r="G7" s="2" t="s">
        <v>21</v>
      </c>
    </row>
    <row r="8" spans="1:7" s="2" customFormat="1" x14ac:dyDescent="0.25">
      <c r="A8" s="2" t="s">
        <v>22</v>
      </c>
      <c r="B8" s="2" t="s">
        <v>23</v>
      </c>
      <c r="C8" s="2">
        <v>2</v>
      </c>
      <c r="D8" s="2">
        <v>8</v>
      </c>
      <c r="E8" s="2">
        <v>16</v>
      </c>
      <c r="F8" s="2">
        <v>0.5</v>
      </c>
      <c r="G8" s="2" t="s">
        <v>24</v>
      </c>
    </row>
    <row r="9" spans="1:7" s="2" customFormat="1" x14ac:dyDescent="0.25">
      <c r="A9" s="2" t="s">
        <v>25</v>
      </c>
      <c r="B9" s="2" t="s">
        <v>26</v>
      </c>
      <c r="C9" s="2">
        <v>2</v>
      </c>
      <c r="D9" s="2">
        <v>8</v>
      </c>
      <c r="E9" s="2">
        <v>32</v>
      </c>
      <c r="F9" s="2">
        <v>4</v>
      </c>
      <c r="G9" s="2" t="s">
        <v>27</v>
      </c>
    </row>
    <row r="10" spans="1:7" s="2" customFormat="1" x14ac:dyDescent="0.25">
      <c r="A10" s="2" t="s">
        <v>28</v>
      </c>
      <c r="B10" s="2" t="s">
        <v>29</v>
      </c>
      <c r="C10" s="2">
        <v>1</v>
      </c>
      <c r="D10" s="2">
        <v>8</v>
      </c>
      <c r="E10" s="2">
        <v>32</v>
      </c>
      <c r="F10" s="2">
        <v>80</v>
      </c>
      <c r="G10" s="2" t="s">
        <v>30</v>
      </c>
    </row>
  </sheetData>
  <autoFilter ref="A1:G10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42" customWidth="1"/>
    <col min="4" max="4" width="30" customWidth="1"/>
  </cols>
  <sheetData>
    <row r="1" ht="24" customHeight="1" spans="1:4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s="2" customFormat="1" x14ac:dyDescent="0.25">
      <c r="A2" s="2" t="s">
        <v>35</v>
      </c>
      <c r="B2" s="2">
        <v>400</v>
      </c>
      <c r="C2" s="2" t="s">
        <v>36</v>
      </c>
      <c r="D2" s="2" t="s">
        <v>37</v>
      </c>
    </row>
    <row r="3" spans="1:4" s="2" customFormat="1" x14ac:dyDescent="0.25">
      <c r="A3" s="2" t="s">
        <v>38</v>
      </c>
      <c r="B3" s="2">
        <v>80</v>
      </c>
      <c r="C3" s="2" t="s">
        <v>36</v>
      </c>
      <c r="D3" s="2" t="s">
        <v>39</v>
      </c>
    </row>
    <row r="4" spans="1:4" s="2" customFormat="1" x14ac:dyDescent="0.25">
      <c r="A4" s="2" t="s">
        <v>40</v>
      </c>
      <c r="B4" s="2">
        <v>12000</v>
      </c>
      <c r="C4" s="2" t="s">
        <v>41</v>
      </c>
      <c r="D4" s="2" t="s">
        <v>39</v>
      </c>
    </row>
    <row r="5" spans="1:4" s="2" customFormat="1" x14ac:dyDescent="0.25">
      <c r="A5" s="2" t="s">
        <v>42</v>
      </c>
      <c r="B5" s="2">
        <v>30</v>
      </c>
      <c r="C5" s="2" t="s">
        <v>43</v>
      </c>
      <c r="D5" s="2" t="s">
        <v>39</v>
      </c>
    </row>
    <row r="6" spans="1:4" s="2" customFormat="1" x14ac:dyDescent="0.25">
      <c r="A6" s="2" t="s">
        <v>44</v>
      </c>
      <c r="B6" s="2">
        <v>180</v>
      </c>
      <c r="C6" s="2" t="s">
        <v>45</v>
      </c>
      <c r="D6" s="2" t="s">
        <v>39</v>
      </c>
    </row>
    <row r="7" spans="1:4" s="2" customFormat="1" x14ac:dyDescent="0.25">
      <c r="A7" s="2" t="s">
        <v>46</v>
      </c>
      <c r="B7" s="2">
        <v>365</v>
      </c>
      <c r="C7" s="2" t="s">
        <v>47</v>
      </c>
      <c r="D7" s="2" t="s">
        <v>39</v>
      </c>
    </row>
    <row r="8" spans="1:4" s="2" customFormat="1" x14ac:dyDescent="0.25">
      <c r="A8" s="2" t="s">
        <v>48</v>
      </c>
      <c r="B8" s="2">
        <v>1.35</v>
      </c>
      <c r="C8" s="2" t="s">
        <v>49</v>
      </c>
      <c r="D8" s="2" t="s">
        <v>50</v>
      </c>
    </row>
    <row r="9" spans="1:4" s="2" customFormat="1" x14ac:dyDescent="0.25">
      <c r="A9" s="2" t="s">
        <v>51</v>
      </c>
      <c r="B9" s="2">
        <v>1.5</v>
      </c>
      <c r="C9" s="2" t="s">
        <v>49</v>
      </c>
      <c r="D9" s="2" t="s">
        <v>50</v>
      </c>
    </row>
    <row r="10" spans="1:4" s="2" customFormat="1" x14ac:dyDescent="0.25">
      <c r="A10" s="2" t="s">
        <v>52</v>
      </c>
      <c r="B10" s="2">
        <v>1.2</v>
      </c>
      <c r="C10" s="2" t="s">
        <v>49</v>
      </c>
      <c r="D10" s="2" t="s">
        <v>50</v>
      </c>
    </row>
    <row r="11" spans="1:4" s="2" customFormat="1" x14ac:dyDescent="0.25">
      <c r="A11" s="2" t="s">
        <v>53</v>
      </c>
      <c r="B11" s="2">
        <f>B6*B7/1024</f>
        <v>64.16015625</v>
      </c>
      <c r="C11" s="2" t="s">
        <v>54</v>
      </c>
      <c r="D11" s="2" t="s">
        <v>55</v>
      </c>
    </row>
    <row r="12" spans="1:4" s="2" customFormat="1" x14ac:dyDescent="0.25">
      <c r="A12" s="2" t="s">
        <v>56</v>
      </c>
      <c r="B12" s="2">
        <f>B11*B8*B9*B10</f>
        <v>155.9091796875</v>
      </c>
      <c r="C12" s="2" t="s">
        <v>57</v>
      </c>
      <c r="D12" s="2" t="s">
        <v>55</v>
      </c>
    </row>
  </sheetData>
  <autoFilter ref="A1:D1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24" customWidth="1"/>
    <col min="4" max="4" width="60" customWidth="1"/>
  </cols>
  <sheetData>
    <row r="1" ht="24" customHeight="1" spans="1:4" s="1" customFormat="1" x14ac:dyDescent="0.25">
      <c r="A1" s="1" t="s">
        <v>58</v>
      </c>
      <c r="B1" s="1" t="s">
        <v>59</v>
      </c>
      <c r="C1" s="1" t="s">
        <v>60</v>
      </c>
      <c r="D1" s="1" t="s">
        <v>61</v>
      </c>
    </row>
    <row r="2" spans="1:4" s="2" customFormat="1" x14ac:dyDescent="0.25">
      <c r="A2" s="2" t="s">
        <v>62</v>
      </c>
      <c r="B2" s="2" t="s">
        <v>63</v>
      </c>
      <c r="C2" s="2" t="s">
        <v>64</v>
      </c>
      <c r="D2" s="2" t="s">
        <v>65</v>
      </c>
    </row>
    <row r="3" spans="1:4" s="2" customFormat="1" x14ac:dyDescent="0.25">
      <c r="A3" s="2" t="s">
        <v>66</v>
      </c>
      <c r="B3" s="2" t="s">
        <v>63</v>
      </c>
      <c r="C3" s="2" t="s">
        <v>64</v>
      </c>
      <c r="D3" s="2" t="s">
        <v>67</v>
      </c>
    </row>
    <row r="4" spans="1:4" s="2" customFormat="1" x14ac:dyDescent="0.25">
      <c r="A4" s="2" t="s">
        <v>68</v>
      </c>
      <c r="B4" s="2" t="s">
        <v>69</v>
      </c>
      <c r="C4" s="2" t="s">
        <v>64</v>
      </c>
      <c r="D4" s="2" t="s">
        <v>70</v>
      </c>
    </row>
    <row r="5" spans="1:4" s="2" customFormat="1" x14ac:dyDescent="0.25">
      <c r="A5" s="2" t="s">
        <v>71</v>
      </c>
      <c r="B5" s="2" t="s">
        <v>63</v>
      </c>
      <c r="C5" s="2" t="s">
        <v>64</v>
      </c>
      <c r="D5" s="2" t="s">
        <v>72</v>
      </c>
    </row>
    <row r="6" spans="1:4" s="2" customFormat="1" x14ac:dyDescent="0.25">
      <c r="A6" s="2" t="s">
        <v>73</v>
      </c>
      <c r="B6" s="2" t="s">
        <v>74</v>
      </c>
      <c r="C6" s="2" t="s">
        <v>75</v>
      </c>
      <c r="D6" s="2" t="s">
        <v>76</v>
      </c>
    </row>
    <row r="7" spans="1:4" s="2" customFormat="1" x14ac:dyDescent="0.25">
      <c r="A7" s="2" t="s">
        <v>77</v>
      </c>
      <c r="B7" s="2" t="s">
        <v>78</v>
      </c>
      <c r="C7" s="2" t="s">
        <v>64</v>
      </c>
      <c r="D7" s="2" t="s">
        <v>79</v>
      </c>
    </row>
  </sheetData>
  <autoFilter ref="A1:D7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资源清单</vt:lpstr>
      <vt:lpstr>容量参数</vt:lpstr>
      <vt:lpstr>外部成本边界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Ningyi synthetic benchmark</dc:creator>
  <dc:title/>
  <dc:subject/>
  <dc:description/>
  <cp:keywords/>
  <cp:category/>
  <cp:lastModifiedBy>Unknown</cp:lastModifiedBy>
  <dcterms:created xsi:type="dcterms:W3CDTF">2026-09-29T00:00:00Z</dcterms:created>
  <dcterms:modified xsi:type="dcterms:W3CDTF">2026-09-29T00:00:00Z</dcterms:modified>
</cp:coreProperties>
</file>