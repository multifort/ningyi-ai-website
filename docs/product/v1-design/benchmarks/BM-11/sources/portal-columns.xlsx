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3ba920b92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栏目清单" sheetId="1" r:id="R4ac3d6579b354689"/>
    <x:sheet xmlns:r="http://schemas.openxmlformats.org/officeDocument/2006/relationships" name="迁移汇总" sheetId="2" r:id="R1821ae319fb44dba"/>
    <x:sheet xmlns:r="http://schemas.openxmlformats.org/officeDocument/2006/relationships" name="路由样例" sheetId="3" r:id="Re42e8c52882a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1182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7A4E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FF4CE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5DDE5"/>
      </x:left>
      <x:right style="thin">
        <x:color rgb="FFD5DDE5"/>
      </x:right>
      <x:top style="thin">
        <x:color rgb="FFD5DDE5"/>
      </x:top>
      <x:bottom style="thin">
        <x:color rgb="FFD5DDE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060546f804536" /><Relationship Type="http://schemas.openxmlformats.org/officeDocument/2006/relationships/theme" Target="/xl/theme/theme1.xml" Id="R9ab7f7073da34554" /><Relationship Type="http://schemas.openxmlformats.org/officeDocument/2006/relationships/sharedStrings" Target="/xl/sharedStrings.xml" Id="R440509fa219c4424" /><Relationship Type="http://schemas.openxmlformats.org/officeDocument/2006/relationships/worksheet" Target="/xl/worksheets/sheet1.xml" Id="R4ac3d6579b354689" /><Relationship Type="http://schemas.openxmlformats.org/officeDocument/2006/relationships/worksheet" Target="/xl/worksheets/sheet2.xml" Id="R1821ae319fb44dba" /><Relationship Type="http://schemas.openxmlformats.org/officeDocument/2006/relationships/worksheet" Target="/xl/worksheets/sheet3.xml" Id="Re42e8c52882a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1" hidden="0" customWidth="1"/>
    <x:col min="8" max="8" width="13" hidden="0" customWidth="1"/>
    <x:col min="9" max="9" width="18" hidden="0" customWidth="1"/>
    <x:col min="10" max="10" width="22" hidden="0" customWidth="1"/>
    <x:col min="11" max="11" width="27" hidden="0" customWidth="1"/>
    <x:col min="12" max="12" width="17" hidden="0" customWidth="1"/>
    <x:col min="13" max="13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企业门户栏目清单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3" t="str">
        <x:v>存量内容总量、处理结果、目标路由和栏目责任的唯一汇总口径。数据均为虚构。 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6" customHeight="1">
      <x:c r="A5" s="9" t="str">
        <x:v>栏目编号</x:v>
      </x:c>
      <x:c r="B5" s="9" t="str">
        <x:v>一级栏目</x:v>
      </x:c>
      <x:c r="C5" s="9" t="str">
        <x:v>旧站路径</x:v>
      </x:c>
      <x:c r="D5" s="9" t="str">
        <x:v>目标路径</x:v>
      </x:c>
      <x:c r="E5" s="9" t="str">
        <x:v>内容总数</x:v>
      </x:c>
      <x:c r="F5" s="9" t="str">
        <x:v>直接迁移</x:v>
      </x:c>
      <x:c r="G5" s="9" t="str">
        <x:v>改写</x:v>
      </x:c>
      <x:c r="H5" s="9" t="str">
        <x:v>离线归档</x:v>
      </x:c>
      <x:c r="I5" s="9" t="str">
        <x:v>内容所有人</x:v>
      </x:c>
      <x:c r="J5" s="9" t="str">
        <x:v>部门审核</x:v>
      </x:c>
      <x:c r="K5" s="9" t="str">
        <x:v>专业审核</x:v>
      </x:c>
      <x:c r="L5" s="9" t="str">
        <x:v>到期策略</x:v>
      </x:c>
      <x:c r="M5" s="9" t="str">
        <x:v>上线波次</x:v>
      </x:c>
    </x:row>
    <x:row r="6" ht="48" customHeight="1">
      <x:c r="A6" s="12" t="str">
        <x:v>COL-NEWS</x:v>
      </x:c>
      <x:c r="B6" s="12" t="str">
        <x:v>集团新闻</x:v>
      </x:c>
      <x:c r="C6" s="12" t="str">
        <x:v>/news.asp</x:v>
      </x:c>
      <x:c r="D6" s="12" t="str">
        <x:v>/news</x:v>
      </x:c>
      <x:c r="E6" s="13" t="n">
        <x:v>248</x:v>
      </x:c>
      <x:c r="F6" s="13" t="n">
        <x:v>96</x:v>
      </x:c>
      <x:c r="G6" s="13" t="n">
        <x:v>0</x:v>
      </x:c>
      <x:c r="H6" s="13" t="n">
        <x:v>152</x:v>
      </x:c>
      <x:c r="I6" s="12" t="str">
        <x:v>品牌传播部</x:v>
      </x:c>
      <x:c r="J6" s="12" t="str">
        <x:v>品牌传播负责人</x:v>
      </x:c>
      <x:c r="K6" s="12" t="str">
        <x:v>重大合作触发法务</x:v>
      </x:c>
      <x:c r="L6" s="12" t="str">
        <x:v>每年复核</x:v>
      </x:c>
      <x:c r="M6" s="12" t="str">
        <x:v>P1/P3</x:v>
      </x:c>
    </x:row>
    <x:row r="7" ht="48" customHeight="1">
      <x:c r="A7" s="12" t="str">
        <x:v>COL-NOTICE</x:v>
      </x:c>
      <x:c r="B7" s="12" t="str">
        <x:v>通知公告</x:v>
      </x:c>
      <x:c r="C7" s="12" t="str">
        <x:v>/notice.asp</x:v>
      </x:c>
      <x:c r="D7" s="12" t="str">
        <x:v>/notices</x:v>
      </x:c>
      <x:c r="E7" s="13" t="n">
        <x:v>112</x:v>
      </x:c>
      <x:c r="F7" s="13" t="n">
        <x:v>42</x:v>
      </x:c>
      <x:c r="G7" s="13" t="n">
        <x:v>0</x:v>
      </x:c>
      <x:c r="H7" s="13" t="n">
        <x:v>70</x:v>
      </x:c>
      <x:c r="I7" s="12" t="str">
        <x:v>集团办公室</x:v>
      </x:c>
      <x:c r="J7" s="12" t="str">
        <x:v>办公室负责人</x:v>
      </x:c>
      <x:c r="K7" s="12" t="str">
        <x:v>个人信息触发隐私审核</x:v>
      </x:c>
      <x:c r="L7" s="12" t="str">
        <x:v>默认90天</x:v>
      </x:c>
      <x:c r="M7" s="12" t="str">
        <x:v>P3</x:v>
      </x:c>
    </x:row>
    <x:row r="8" ht="48" customHeight="1">
      <x:c r="A8" s="12" t="str">
        <x:v>COL-BIZ</x:v>
      </x:c>
      <x:c r="B8" s="12" t="str">
        <x:v>业务板块</x:v>
      </x:c>
      <x:c r="C8" s="12" t="str">
        <x:v>/industry.asp</x:v>
      </x:c>
      <x:c r="D8" s="12" t="str">
        <x:v>/business</x:v>
      </x:c>
      <x:c r="E8" s="13" t="n">
        <x:v>86</x:v>
      </x:c>
      <x:c r="F8" s="13" t="n">
        <x:v>34</x:v>
      </x:c>
      <x:c r="G8" s="13" t="n">
        <x:v>18</x:v>
      </x:c>
      <x:c r="H8" s="13" t="n">
        <x:v>34</x:v>
      </x:c>
      <x:c r="I8" s="12" t="str">
        <x:v>各事业部</x:v>
      </x:c>
      <x:c r="J8" s="12" t="str">
        <x:v>事业部负责人</x:v>
      </x:c>
      <x:c r="K8" s="12" t="str">
        <x:v>品牌审核</x:v>
      </x:c>
      <x:c r="L8" s="12" t="str">
        <x:v>每半年复核</x:v>
      </x:c>
      <x:c r="M8" s="12" t="str">
        <x:v>P1/P3</x:v>
      </x:c>
    </x:row>
    <x:row r="9" ht="48" customHeight="1">
      <x:c r="A9" s="12" t="str">
        <x:v>COL-IR</x:v>
      </x:c>
      <x:c r="B9" s="12" t="str">
        <x:v>投资者关系</x:v>
      </x:c>
      <x:c r="C9" s="12" t="str">
        <x:v>/investor.asp</x:v>
      </x:c>
      <x:c r="D9" s="12" t="str">
        <x:v>/investors</x:v>
      </x:c>
      <x:c r="E9" s="13" t="n">
        <x:v>54</x:v>
      </x:c>
      <x:c r="F9" s="13" t="n">
        <x:v>54</x:v>
      </x:c>
      <x:c r="G9" s="13" t="n">
        <x:v>0</x:v>
      </x:c>
      <x:c r="H9" s="13" t="n">
        <x:v>0</x:v>
      </x:c>
      <x:c r="I9" s="12" t="str">
        <x:v>董事会办公室</x:v>
      </x:c>
      <x:c r="J9" s="12" t="str">
        <x:v>董办负责人</x:v>
      </x:c>
      <x:c r="K9" s="12" t="str">
        <x:v>财务与法务必审</x:v>
      </x:c>
      <x:c r="L9" s="12" t="str">
        <x:v>不自动到期</x:v>
      </x:c>
      <x:c r="M9" s="12" t="str">
        <x:v>P2</x:v>
      </x:c>
    </x:row>
    <x:row r="10" ht="48" customHeight="1">
      <x:c r="A10" s="12" t="str">
        <x:v>COL-JOBS</x:v>
      </x:c>
      <x:c r="B10" s="12" t="str">
        <x:v>人才发展</x:v>
      </x:c>
      <x:c r="C10" s="12" t="str">
        <x:v>/job.asp</x:v>
      </x:c>
      <x:c r="D10" s="12" t="str">
        <x:v>/careers</x:v>
      </x:c>
      <x:c r="E10" s="13" t="n">
        <x:v>73</x:v>
      </x:c>
      <x:c r="F10" s="13" t="n">
        <x:v>24</x:v>
      </x:c>
      <x:c r="G10" s="13" t="n">
        <x:v>0</x:v>
      </x:c>
      <x:c r="H10" s="13" t="n">
        <x:v>49</x:v>
      </x:c>
      <x:c r="I10" s="12" t="str">
        <x:v>人力资源部</x:v>
      </x:c>
      <x:c r="J10" s="12" t="str">
        <x:v>招聘负责人</x:v>
      </x:c>
      <x:c r="K10" s="12" t="str">
        <x:v>隐私审核</x:v>
      </x:c>
      <x:c r="L10" s="12" t="str">
        <x:v>职位截止日</x:v>
      </x:c>
      <x:c r="M10" s="12" t="str">
        <x:v>P3</x:v>
      </x:c>
    </x:row>
    <x:row r="11" ht="48" customHeight="1">
      <x:c r="A11" s="12" t="str">
        <x:v>COL-ABOUT</x:v>
      </x:c>
      <x:c r="B11" s="12" t="str">
        <x:v>关于集团</x:v>
      </x:c>
      <x:c r="C11" s="12" t="str">
        <x:v>/about.asp</x:v>
      </x:c>
      <x:c r="D11" s="12" t="str">
        <x:v>/about</x:v>
      </x:c>
      <x:c r="E11" s="13" t="n">
        <x:v>47</x:v>
      </x:c>
      <x:c r="F11" s="13" t="n">
        <x:v>0</x:v>
      </x:c>
      <x:c r="G11" s="13" t="n">
        <x:v>12</x:v>
      </x:c>
      <x:c r="H11" s="13" t="n">
        <x:v>35</x:v>
      </x:c>
      <x:c r="I11" s="12" t="str">
        <x:v>品牌传播部</x:v>
      </x:c>
      <x:c r="J11" s="12" t="str">
        <x:v>品牌传播负责人</x:v>
      </x:c>
      <x:c r="K11" s="12" t="str">
        <x:v>品牌审核</x:v>
      </x:c>
      <x:c r="L11" s="12" t="str">
        <x:v>每半年复核</x:v>
      </x:c>
      <x:c r="M11" s="12" t="str">
        <x:v>P3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mergeCells>
    <x:mergeCell ref="A2:M2"/>
    <x:mergeCell ref="A3:M3"/>
  </x:mergeCells>
  <x:conditionalFormatting sqref="A6:M11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2" hidden="0" customWidth="1"/>
    <x:col min="5" max="5" width="15" hidden="0" customWidth="1"/>
    <x:col min="6" max="6" width="14" hidden="0" customWidth="1"/>
    <x:col min="7" max="7" width="12" hidden="0" customWidth="1"/>
    <x:col min="8" max="8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迁移数量守恒与实施批次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3" t="str">
        <x:v>迁移、改写和离线归档必须覆盖全部620条内容；离线归档不等同删除。 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6" customHeight="1">
      <x:c r="A5" s="9" t="str">
        <x:v>栏目</x:v>
      </x:c>
      <x:c r="B5" s="9" t="str">
        <x:v>存量总数</x:v>
      </x:c>
      <x:c r="C5" s="9" t="str">
        <x:v>直接迁移</x:v>
      </x:c>
      <x:c r="D5" s="9" t="str">
        <x:v>改写</x:v>
      </x:c>
      <x:c r="E5" s="9" t="str">
        <x:v>离线归档</x:v>
      </x:c>
      <x:c r="F5" s="9" t="str">
        <x:v>已分配</x:v>
      </x:c>
      <x:c r="G5" s="9" t="str">
        <x:v>差异</x:v>
      </x:c>
      <x:c r="H5" s="9" t="str">
        <x:v>校验结果</x:v>
      </x:c>
      <x:c r="I5" s="1"/>
      <x:c r="J5" s="1"/>
      <x:c r="K5" s="1"/>
      <x:c r="L5" s="1"/>
      <x:c r="M5" s="1"/>
    </x:row>
    <x:row r="6" ht="34" customHeight="1">
      <x:c r="A6" s="15" t="str">
        <x:v>集团新闻</x:v>
      </x:c>
      <x:c r="B6" s="15" t="n">
        <x:f>'栏目清单'!E6</x:f>
        <x:v>248</x:v>
      </x:c>
      <x:c r="C6" s="15" t="n">
        <x:f>'栏目清单'!F6</x:f>
        <x:v>96</x:v>
      </x:c>
      <x:c r="D6" s="15" t="n">
        <x:f>'栏目清单'!G6</x:f>
        <x:v>0</x:v>
      </x:c>
      <x:c r="E6" s="15" t="n">
        <x:f>'栏目清单'!H6</x:f>
        <x:v>152</x:v>
      </x:c>
      <x:c r="F6" s="15" t="n">
        <x:f>SUM(C6:E6)</x:f>
        <x:v>248</x:v>
      </x:c>
      <x:c r="G6" s="15" t="n">
        <x:f>B6-F6</x:f>
        <x:v>0</x:v>
      </x:c>
      <x:c r="H6" s="15" t="str">
        <x:f>IF(G6=0,"通过","失败")</x:f>
        <x:v>通过</x:v>
      </x:c>
      <x:c r="I6" s="1"/>
      <x:c r="J6" s="1"/>
      <x:c r="K6" s="1"/>
      <x:c r="L6" s="1"/>
      <x:c r="M6" s="1"/>
    </x:row>
    <x:row r="7" ht="34" customHeight="1">
      <x:c r="A7" s="15" t="str">
        <x:v>通知公告</x:v>
      </x:c>
      <x:c r="B7" s="15" t="n">
        <x:f>'栏目清单'!E7</x:f>
        <x:v>112</x:v>
      </x:c>
      <x:c r="C7" s="15" t="n">
        <x:f>'栏目清单'!F7</x:f>
        <x:v>42</x:v>
      </x:c>
      <x:c r="D7" s="15" t="n">
        <x:f>'栏目清单'!G7</x:f>
        <x:v>0</x:v>
      </x:c>
      <x:c r="E7" s="15" t="n">
        <x:f>'栏目清单'!H7</x:f>
        <x:v>70</x:v>
      </x:c>
      <x:c r="F7" s="15" t="n">
        <x:f>SUM(C7:E7)</x:f>
        <x:v>112</x:v>
      </x:c>
      <x:c r="G7" s="15" t="n">
        <x:f>B7-F7</x:f>
        <x:v>0</x:v>
      </x:c>
      <x:c r="H7" s="15" t="str">
        <x:f>IF(G7=0,"通过","失败")</x:f>
        <x:v>通过</x:v>
      </x:c>
      <x:c r="I7" s="1"/>
      <x:c r="J7" s="1"/>
      <x:c r="K7" s="1"/>
      <x:c r="L7" s="1"/>
      <x:c r="M7" s="1"/>
    </x:row>
    <x:row r="8" ht="34" customHeight="1">
      <x:c r="A8" s="15" t="str">
        <x:v>业务板块</x:v>
      </x:c>
      <x:c r="B8" s="15" t="n">
        <x:f>'栏目清单'!E8</x:f>
        <x:v>86</x:v>
      </x:c>
      <x:c r="C8" s="15" t="n">
        <x:f>'栏目清单'!F8</x:f>
        <x:v>34</x:v>
      </x:c>
      <x:c r="D8" s="15" t="n">
        <x:f>'栏目清单'!G8</x:f>
        <x:v>18</x:v>
      </x:c>
      <x:c r="E8" s="15" t="n">
        <x:f>'栏目清单'!H8</x:f>
        <x:v>34</x:v>
      </x:c>
      <x:c r="F8" s="15" t="n">
        <x:f>SUM(C8:E8)</x:f>
        <x:v>86</x:v>
      </x:c>
      <x:c r="G8" s="15" t="n">
        <x:f>B8-F8</x:f>
        <x:v>0</x:v>
      </x:c>
      <x:c r="H8" s="15" t="str">
        <x:f>IF(G8=0,"通过","失败")</x:f>
        <x:v>通过</x:v>
      </x:c>
      <x:c r="I8" s="1"/>
      <x:c r="J8" s="1"/>
      <x:c r="K8" s="1"/>
      <x:c r="L8" s="1"/>
      <x:c r="M8" s="1"/>
    </x:row>
    <x:row r="9" ht="34" customHeight="1">
      <x:c r="A9" s="15" t="str">
        <x:v>投资者关系</x:v>
      </x:c>
      <x:c r="B9" s="15" t="n">
        <x:f>'栏目清单'!E9</x:f>
        <x:v>54</x:v>
      </x:c>
      <x:c r="C9" s="15" t="n">
        <x:f>'栏目清单'!F9</x:f>
        <x:v>54</x:v>
      </x:c>
      <x:c r="D9" s="15" t="n">
        <x:f>'栏目清单'!G9</x:f>
        <x:v>0</x:v>
      </x:c>
      <x:c r="E9" s="15" t="n">
        <x:f>'栏目清单'!H9</x:f>
        <x:v>0</x:v>
      </x:c>
      <x:c r="F9" s="15" t="n">
        <x:f>SUM(C9:E9)</x:f>
        <x:v>54</x:v>
      </x:c>
      <x:c r="G9" s="15" t="n">
        <x:f>B9-F9</x:f>
        <x:v>0</x:v>
      </x:c>
      <x:c r="H9" s="15" t="str">
        <x:f>IF(G9=0,"通过","失败")</x:f>
        <x:v>通过</x:v>
      </x:c>
      <x:c r="I9" s="1"/>
      <x:c r="J9" s="1"/>
      <x:c r="K9" s="1"/>
      <x:c r="L9" s="1"/>
      <x:c r="M9" s="1"/>
    </x:row>
    <x:row r="10" ht="34" customHeight="1">
      <x:c r="A10" s="15" t="str">
        <x:v>人才发展</x:v>
      </x:c>
      <x:c r="B10" s="15" t="n">
        <x:f>'栏目清单'!E10</x:f>
        <x:v>73</x:v>
      </x:c>
      <x:c r="C10" s="15" t="n">
        <x:f>'栏目清单'!F10</x:f>
        <x:v>24</x:v>
      </x:c>
      <x:c r="D10" s="15" t="n">
        <x:f>'栏目清单'!G10</x:f>
        <x:v>0</x:v>
      </x:c>
      <x:c r="E10" s="15" t="n">
        <x:f>'栏目清单'!H10</x:f>
        <x:v>49</x:v>
      </x:c>
      <x:c r="F10" s="15" t="n">
        <x:f>SUM(C10:E10)</x:f>
        <x:v>73</x:v>
      </x:c>
      <x:c r="G10" s="15" t="n">
        <x:f>B10-F10</x:f>
        <x:v>0</x:v>
      </x:c>
      <x:c r="H10" s="15" t="str">
        <x:f>IF(G10=0,"通过","失败")</x:f>
        <x:v>通过</x:v>
      </x:c>
      <x:c r="I10" s="1"/>
      <x:c r="J10" s="1"/>
      <x:c r="K10" s="1"/>
      <x:c r="L10" s="1"/>
      <x:c r="M10" s="1"/>
    </x:row>
    <x:row r="11" ht="34" customHeight="1">
      <x:c r="A11" s="15" t="str">
        <x:v>关于集团</x:v>
      </x:c>
      <x:c r="B11" s="15" t="n">
        <x:f>'栏目清单'!E11</x:f>
        <x:v>47</x:v>
      </x:c>
      <x:c r="C11" s="15" t="n">
        <x:f>'栏目清单'!F11</x:f>
        <x:v>0</x:v>
      </x:c>
      <x:c r="D11" s="15" t="n">
        <x:f>'栏目清单'!G11</x:f>
        <x:v>12</x:v>
      </x:c>
      <x:c r="E11" s="15" t="n">
        <x:f>'栏目清单'!H11</x:f>
        <x:v>35</x:v>
      </x:c>
      <x:c r="F11" s="15" t="n">
        <x:f>SUM(C11:E11)</x:f>
        <x:v>47</x:v>
      </x:c>
      <x:c r="G11" s="15" t="n">
        <x:f>B11-F11</x:f>
        <x:v>0</x:v>
      </x:c>
      <x:c r="H11" s="15" t="str">
        <x:f>IF(G11=0,"通过","失败")</x:f>
        <x:v>通过</x:v>
      </x:c>
      <x:c r="I11" s="1"/>
      <x:c r="J11" s="1"/>
      <x:c r="K11" s="1"/>
      <x:c r="L11" s="1"/>
      <x:c r="M11" s="1"/>
    </x:row>
    <x:row r="12" ht="34" customHeight="1">
      <x:c r="A12" s="17" t="str">
        <x:v>合计</x:v>
      </x:c>
      <x:c r="B12" s="17" t="n">
        <x:f>SUM(B6:B11)</x:f>
        <x:v>620</x:v>
      </x:c>
      <x:c r="C12" s="17" t="n">
        <x:f>SUM(C6:C11)</x:f>
        <x:v>250</x:v>
      </x:c>
      <x:c r="D12" s="17" t="n">
        <x:f>SUM(D6:D11)</x:f>
        <x:v>30</x:v>
      </x:c>
      <x:c r="E12" s="17" t="n">
        <x:f>SUM(E6:E11)</x:f>
        <x:v>340</x:v>
      </x:c>
      <x:c r="F12" s="17" t="n">
        <x:f>SUM(F6:F11)</x:f>
        <x:v>620</x:v>
      </x:c>
      <x:c r="G12" s="17" t="n">
        <x:f>SUM(G6:G11)</x:f>
        <x:v>0</x:v>
      </x:c>
      <x:c r="H12" s="17" t="str">
        <x:f>IF(AND(B12=620,C12=250,D12=30,E12=340,F12=B12,G12=0),"通过","失败")</x:f>
        <x:v>通过</x:v>
      </x:c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36" customHeight="1">
      <x:c r="A16" s="9" t="str">
        <x:v>批次</x:v>
      </x:c>
      <x:c r="B16" s="9" t="str">
        <x:v>范围</x:v>
      </x:c>
      <x:c r="C16" s="9" t="str">
        <x:v>数量 / 对象</x:v>
      </x:c>
      <x:c r="D16" s="9" t="str">
        <x:v>开始条件</x:v>
      </x:c>
      <x:c r="E16" s="9" t="str">
        <x:v>完成证据</x:v>
      </x:c>
      <x:c r="F16" s="9" t="str">
        <x:v>回退点</x:v>
      </x:c>
      <x:c r="G16" s="1"/>
      <x:c r="H16" s="1"/>
      <x:c r="I16" s="1"/>
      <x:c r="J16" s="1"/>
      <x:c r="K16" s="1"/>
      <x:c r="L16" s="1"/>
      <x:c r="M16" s="1"/>
    </x:row>
    <x:row r="17" ht="42" customHeight="1">
      <x:c r="A17" s="12" t="str">
        <x:v>P0</x:v>
      </x:c>
      <x:c r="B17" s="12" t="str">
        <x:v>盘点与冻结</x:v>
      </x:c>
      <x:c r="C17" s="12" t="n">
        <x:v>620</x:v>
      </x:c>
      <x:c r="D17" s="12" t="str">
        <x:v>栏目所有人确认</x:v>
      </x:c>
      <x:c r="E17" s="12" t="str">
        <x:v>逐条迁移决策与附件清单</x:v>
      </x:c>
      <x:c r="F17" s="12" t="str">
        <x:v>继续使用旧站</x:v>
      </x:c>
      <x:c r="G17" s="1"/>
      <x:c r="H17" s="1"/>
      <x:c r="I17" s="1"/>
      <x:c r="J17" s="1"/>
      <x:c r="K17" s="1"/>
      <x:c r="L17" s="1"/>
      <x:c r="M17" s="1"/>
    </x:row>
    <x:row r="18" ht="42" customHeight="1">
      <x:c r="A18" s="12" t="str">
        <x:v>P1</x:v>
      </x:c>
      <x:c r="B18" s="12" t="str">
        <x:v>试迁移</x:v>
      </x:c>
      <x:c r="C18" s="12" t="n">
        <x:v>20</x:v>
      </x:c>
      <x:c r="D18" s="12" t="str">
        <x:v>目标模型可用</x:v>
      </x:c>
      <x:c r="E18" s="12" t="str">
        <x:v>新闻与业务各10条抽验通过</x:v>
      </x:c>
      <x:c r="F18" s="12" t="str">
        <x:v>删除试迁移候选</x:v>
      </x:c>
      <x:c r="G18" s="1"/>
      <x:c r="H18" s="1"/>
      <x:c r="I18" s="1"/>
      <x:c r="J18" s="1"/>
      <x:c r="K18" s="1"/>
      <x:c r="L18" s="1"/>
      <x:c r="M18" s="1"/>
    </x:row>
    <x:row r="19" ht="42" customHeight="1">
      <x:c r="A19" s="12" t="str">
        <x:v>P2</x:v>
      </x:c>
      <x:c r="B19" s="12" t="str">
        <x:v>投资者关系</x:v>
      </x:c>
      <x:c r="C19" s="12" t="n">
        <x:v>54</x:v>
      </x:c>
      <x:c r="D19" s="12" t="str">
        <x:v>财务与法务工作流可用</x:v>
      </x:c>
      <x:c r="E19" s="12" t="str">
        <x:v>54条全部专业复核</x:v>
      </x:c>
      <x:c r="F19" s="12" t="str">
        <x:v>保持旧站投资者页面</x:v>
      </x:c>
      <x:c r="G19" s="1"/>
      <x:c r="H19" s="1"/>
      <x:c r="I19" s="1"/>
      <x:c r="J19" s="1"/>
      <x:c r="K19" s="1"/>
      <x:c r="L19" s="1"/>
      <x:c r="M19" s="1"/>
    </x:row>
    <x:row r="20" ht="42" customHeight="1">
      <x:c r="A20" s="12" t="str">
        <x:v>P3</x:v>
      </x:c>
      <x:c r="B20" s="12" t="str">
        <x:v>批量迁移与改写</x:v>
      </x:c>
      <x:c r="C20" s="12" t="n">
        <x:v>206</x:v>
      </x:c>
      <x:c r="D20" s="12" t="str">
        <x:v>试迁移缺陷关闭</x:v>
      </x:c>
      <x:c r="E20" s="12" t="str">
        <x:v>250条迁移与30条改写整体完成</x:v>
      </x:c>
      <x:c r="F20" s="12" t="str">
        <x:v>恢复旧站只读</x:v>
      </x:c>
      <x:c r="G20" s="1"/>
      <x:c r="H20" s="1"/>
      <x:c r="I20" s="1"/>
      <x:c r="J20" s="1"/>
      <x:c r="K20" s="1"/>
      <x:c r="L20" s="1"/>
      <x:c r="M20" s="1"/>
    </x:row>
    <x:row r="21" ht="42" customHeight="1">
      <x:c r="A21" s="12" t="str">
        <x:v>P4</x:v>
      </x:c>
      <x:c r="B21" s="12" t="str">
        <x:v>切换与观察</x:v>
      </x:c>
      <x:c r="C21" s="12" t="str">
        <x:v>全站</x:v>
      </x:c>
      <x:c r="D21" s="12" t="str">
        <x:v>上线审批通过</x:v>
      </x:c>
      <x:c r="E21" s="12" t="str">
        <x:v>7天无阻断缺陷</x:v>
      </x:c>
      <x:c r="F21" s="12" t="str">
        <x:v>恢复旧站只读入口</x:v>
      </x:c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mergeCells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28" hidden="0" customWidth="1"/>
    <x:col min="5" max="5" width="15" hidden="0" customWidth="1"/>
    <x:col min="6" max="6" width="14" hidden="0" customWidth="1"/>
    <x:col min="7" max="7" width="19" hidden="0" customWidth="1"/>
    <x:col min="8" max="8" width="22" hidden="0" customWidth="1"/>
    <x:col min="9" max="9" width="16" hidden="0" customWidth="1"/>
    <x:col min="10" max="10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旧地址与目标路由样例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3" t="str">
        <x:v>有替代页时使用301；无替代页的离线归档内容仅在SEO与法务复核后返回410。 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6" customHeight="1">
      <x:c r="A5" s="9" t="str">
        <x:v>样例编号</x:v>
      </x:c>
      <x:c r="B5" s="9" t="str">
        <x:v>栏目</x:v>
      </x:c>
      <x:c r="C5" s="9" t="str">
        <x:v>旧地址</x:v>
      </x:c>
      <x:c r="D5" s="9" t="str">
        <x:v>目标地址</x:v>
      </x:c>
      <x:c r="E5" s="9" t="str">
        <x:v>处理</x:v>
      </x:c>
      <x:c r="F5" s="9" t="str">
        <x:v>HTTP动作</x:v>
      </x:c>
      <x:c r="G5" s="9" t="str">
        <x:v>所有人</x:v>
      </x:c>
      <x:c r="H5" s="9" t="str">
        <x:v>审批要求</x:v>
      </x:c>
      <x:c r="I5" s="9" t="str">
        <x:v>附件</x:v>
      </x:c>
      <x:c r="J5" s="9" t="str">
        <x:v>预期结果</x:v>
      </x:c>
      <x:c r="K5" s="1"/>
      <x:c r="L5" s="1"/>
      <x:c r="M5" s="1"/>
    </x:row>
    <x:row r="6" ht="46" customHeight="1">
      <x:c r="A6" s="12" t="str">
        <x:v>URL-SYN-001</x:v>
      </x:c>
      <x:c r="B6" s="12" t="str">
        <x:v>集团新闻</x:v>
      </x:c>
      <x:c r="C6" s="12" t="str">
        <x:v>/news.asp?id=872</x:v>
      </x:c>
      <x:c r="D6" s="12" t="str">
        <x:v>/news/2026/green-factory</x:v>
      </x:c>
      <x:c r="E6" s="12" t="str">
        <x:v>迁移</x:v>
      </x:c>
      <x:c r="F6" s="12" t="str">
        <x:v>301</x:v>
      </x:c>
      <x:c r="G6" s="12" t="str">
        <x:v>品牌传播部</x:v>
      </x:c>
      <x:c r="H6" s="12" t="str">
        <x:v>部门审核</x:v>
      </x:c>
      <x:c r="I6" s="12" t="str">
        <x:v>2个PDF</x:v>
      </x:c>
      <x:c r="J6" s="12" t="str">
        <x:v>目标页200</x:v>
      </x:c>
      <x:c r="K6" s="1"/>
      <x:c r="L6" s="1"/>
      <x:c r="M6" s="1"/>
    </x:row>
    <x:row r="7" ht="46" customHeight="1">
      <x:c r="A7" s="12" t="str">
        <x:v>URL-SYN-002</x:v>
      </x:c>
      <x:c r="B7" s="12" t="str">
        <x:v>投资者关系</x:v>
      </x:c>
      <x:c r="C7" s="12" t="str">
        <x:v>/investor.asp?id=54</x:v>
      </x:c>
      <x:c r="D7" s="12" t="str">
        <x:v>/investors/reports/2025</x:v>
      </x:c>
      <x:c r="E7" s="12" t="str">
        <x:v>迁移</x:v>
      </x:c>
      <x:c r="F7" s="12" t="str">
        <x:v>301</x:v>
      </x:c>
      <x:c r="G7" s="12" t="str">
        <x:v>董事会办公室</x:v>
      </x:c>
      <x:c r="H7" s="12" t="str">
        <x:v>财务+法务</x:v>
      </x:c>
      <x:c r="I7" s="12" t="str">
        <x:v>1个PDF</x:v>
      </x:c>
      <x:c r="J7" s="12" t="str">
        <x:v>目标页200</x:v>
      </x:c>
      <x:c r="K7" s="1"/>
      <x:c r="L7" s="1"/>
      <x:c r="M7" s="1"/>
    </x:row>
    <x:row r="8" ht="46" customHeight="1">
      <x:c r="A8" s="12" t="str">
        <x:v>URL-SYN-003</x:v>
      </x:c>
      <x:c r="B8" s="12" t="str">
        <x:v>业务板块</x:v>
      </x:c>
      <x:c r="C8" s="12" t="str">
        <x:v>/industry.asp?id=12</x:v>
      </x:c>
      <x:c r="D8" s="12" t="str">
        <x:v>/business/new-materials</x:v>
      </x:c>
      <x:c r="E8" s="12" t="str">
        <x:v>改写</x:v>
      </x:c>
      <x:c r="F8" s="12" t="str">
        <x:v>301</x:v>
      </x:c>
      <x:c r="G8" s="12" t="str">
        <x:v>新材料事业部</x:v>
      </x:c>
      <x:c r="H8" s="12" t="str">
        <x:v>部门+品牌</x:v>
      </x:c>
      <x:c r="I8" s="12" t="str">
        <x:v>3张图片</x:v>
      </x:c>
      <x:c r="J8" s="12" t="str">
        <x:v>目标页200</x:v>
      </x:c>
      <x:c r="K8" s="1"/>
      <x:c r="L8" s="1"/>
      <x:c r="M8" s="1"/>
    </x:row>
    <x:row r="9" ht="46" customHeight="1">
      <x:c r="A9" s="12" t="str">
        <x:v>URL-SYN-004</x:v>
      </x:c>
      <x:c r="B9" s="12" t="str">
        <x:v>通知公告</x:v>
      </x:c>
      <x:c r="C9" s="12" t="str">
        <x:v>/notice.asp?id=19</x:v>
      </x:c>
      <x:c r="D9" s="12" t="str">
        <x:v>无</x:v>
      </x:c>
      <x:c r="E9" s="12" t="str">
        <x:v>离线归档</x:v>
      </x:c>
      <x:c r="F9" s="12" t="str">
        <x:v>410</x:v>
      </x:c>
      <x:c r="G9" s="12" t="str">
        <x:v>集团办公室</x:v>
      </x:c>
      <x:c r="H9" s="12" t="str">
        <x:v>SEO+法务复核</x:v>
      </x:c>
      <x:c r="I9" s="12" t="str">
        <x:v>无</x:v>
      </x:c>
      <x:c r="J9" s="12" t="str">
        <x:v>保留归档证据</x:v>
      </x:c>
      <x:c r="K9" s="1"/>
      <x:c r="L9" s="1"/>
      <x:c r="M9" s="1"/>
    </x:row>
    <x:row r="10" ht="46" customHeight="1">
      <x:c r="A10" s="12" t="str">
        <x:v>URL-SYN-005</x:v>
      </x:c>
      <x:c r="B10" s="12" t="str">
        <x:v>人才发展</x:v>
      </x:c>
      <x:c r="C10" s="12" t="str">
        <x:v>/job.asp?id=43</x:v>
      </x:c>
      <x:c r="D10" s="12" t="str">
        <x:v>无</x:v>
      </x:c>
      <x:c r="E10" s="12" t="str">
        <x:v>离线归档</x:v>
      </x:c>
      <x:c r="F10" s="12" t="str">
        <x:v>410</x:v>
      </x:c>
      <x:c r="G10" s="12" t="str">
        <x:v>人力资源部</x:v>
      </x:c>
      <x:c r="H10" s="12" t="str">
        <x:v>SEO+隐私复核</x:v>
      </x:c>
      <x:c r="I10" s="12" t="str">
        <x:v>1个DOC</x:v>
      </x:c>
      <x:c r="J10" s="12" t="str">
        <x:v>保留归档证据</x:v>
      </x:c>
      <x:c r="K10" s="1"/>
      <x:c r="L10" s="1"/>
      <x:c r="M10" s="1"/>
    </x:row>
    <x:row r="11" ht="46" customHeight="1">
      <x:c r="A11" s="12" t="str">
        <x:v>URL-SYN-006</x:v>
      </x:c>
      <x:c r="B11" s="12" t="str">
        <x:v>关于集团</x:v>
      </x:c>
      <x:c r="C11" s="12" t="str">
        <x:v>/about.asp?id=3</x:v>
      </x:c>
      <x:c r="D11" s="12" t="str">
        <x:v>/about/history</x:v>
      </x:c>
      <x:c r="E11" s="12" t="str">
        <x:v>改写</x:v>
      </x:c>
      <x:c r="F11" s="12" t="str">
        <x:v>301</x:v>
      </x:c>
      <x:c r="G11" s="12" t="str">
        <x:v>品牌传播部</x:v>
      </x:c>
      <x:c r="H11" s="12" t="str">
        <x:v>部门+品牌</x:v>
      </x:c>
      <x:c r="I11" s="12" t="str">
        <x:v>4张图片</x:v>
      </x:c>
      <x:c r="J11" s="12" t="str">
        <x:v>目标页200</x:v>
      </x:c>
      <x:c r="K11" s="1"/>
      <x:c r="L11" s="1"/>
      <x:c r="M11" s="1"/>
    </x:row>
    <x:row r="12" ht="46" customHeight="1">
      <x:c r="A12" s="12" t="str">
        <x:v>URL-SYN-007</x:v>
      </x:c>
      <x:c r="B12" s="12" t="str">
        <x:v>集团新闻</x:v>
      </x:c>
      <x:c r="C12" s="12" t="str">
        <x:v>/news.asp?id=14</x:v>
      </x:c>
      <x:c r="D12" s="12" t="str">
        <x:v>无</x:v>
      </x:c>
      <x:c r="E12" s="12" t="str">
        <x:v>离线归档</x:v>
      </x:c>
      <x:c r="F12" s="12" t="str">
        <x:v>待复核</x:v>
      </x:c>
      <x:c r="G12" s="12" t="str">
        <x:v>品牌传播部</x:v>
      </x:c>
      <x:c r="H12" s="12" t="str">
        <x:v>SEO+法务复核</x:v>
      </x:c>
      <x:c r="I12" s="12" t="str">
        <x:v>孤儿PDF</x:v>
      </x:c>
      <x:c r="J12" s="12" t="str">
        <x:v>不得自动删除</x:v>
      </x:c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mergeCells>
    <x:mergeCell ref="A2:J2"/>
    <x:mergeCell ref="A3:J3"/>
  </x:mergeCells>
  <x:conditionalFormatting sqref="A6:J12">
    <x:cfRule type="expression" dxfId="1" priority="1">
      <x:formula>MOD(ROW(),2)=0</x:formula>
    </x:cfRule>
  </x:conditionalFormatting>
  <x:pageMargins left="0.7" right="0.7" top="0.75" bottom="0.75" header="0.3" footer="0.3"/>
</x:worksheet>
</file>