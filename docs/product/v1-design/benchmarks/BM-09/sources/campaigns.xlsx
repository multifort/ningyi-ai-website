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ae6d8e571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活动规则" sheetId="1" r:id="R54570853bbaf4273"/>
    <x:sheet xmlns:r="http://schemas.openxmlformats.org/officeDocument/2006/relationships" name="订单核对" sheetId="2" r:id="Receaa9abb45d4ff7"/>
    <x:sheet xmlns:r="http://schemas.openxmlformats.org/officeDocument/2006/relationships" name="叠加冲突" sheetId="3" r:id="R37b3e0799b3b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yyyy-mm-dd hh:mm"/>
    <x:numFmt numFmtId="203" formatCode="yyyy-mm-dd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1182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7A4E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1"/>
      </x:patternFill>
    </x:fill>
    <x:fill>
      <x:patternFill patternType="solid">
        <x:fgColor rgb="FFFFF4CE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94e621c2b4b67" /><Relationship Type="http://schemas.openxmlformats.org/officeDocument/2006/relationships/theme" Target="/xl/theme/theme1.xml" Id="R802e953467324039" /><Relationship Type="http://schemas.openxmlformats.org/officeDocument/2006/relationships/sharedStrings" Target="/xl/sharedStrings.xml" Id="Re5381f66132144e3" /><Relationship Type="http://schemas.openxmlformats.org/officeDocument/2006/relationships/worksheet" Target="/xl/worksheets/sheet1.xml" Id="R54570853bbaf4273" /><Relationship Type="http://schemas.openxmlformats.org/officeDocument/2006/relationships/worksheet" Target="/xl/worksheets/sheet2.xml" Id="Receaa9abb45d4ff7" /><Relationship Type="http://schemas.openxmlformats.org/officeDocument/2006/relationships/worksheet" Target="/xl/worksheets/sheet3.xml" Id="R37b3e0799b3b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6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21" hidden="0" customWidth="1"/>
    <x:col min="4" max="4" width="21" hidden="0" customWidth="1"/>
    <x:col min="5" max="5" width="16" hidden="0" customWidth="1"/>
    <x:col min="6" max="6" width="18" hidden="0" customWidth="1"/>
    <x:col min="7" max="7" width="38" hidden="0" customWidth="1"/>
    <x:col min="8" max="8" width="13" hidden="0" customWidth="1"/>
    <x:col min="9" max="9" width="20" hidden="0" customWidth="1"/>
    <x:col min="10" max="10" width="10" hidden="0" customWidth="1"/>
    <x:col min="11" max="11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2026 年会员活动规则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积分以实付可积分金额为基础；退货按原订单活动规则冲减。活动时区：Asia/Shanghai。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9" t="str">
        <x:v>活动编号</x:v>
      </x:c>
      <x:c r="B5" s="9" t="str">
        <x:v>活动名称</x:v>
      </x:c>
      <x:c r="C5" s="9" t="str">
        <x:v>开始时间</x:v>
      </x:c>
      <x:c r="D5" s="9" t="str">
        <x:v>结束时间</x:v>
      </x:c>
      <x:c r="E5" s="9" t="str">
        <x:v>适用渠道</x:v>
      </x:c>
      <x:c r="F5" s="9" t="str">
        <x:v>适用会员</x:v>
      </x:c>
      <x:c r="G5" s="9" t="str">
        <x:v>奖励规则</x:v>
      </x:c>
      <x:c r="H5" s="9" t="str">
        <x:v>奖励上限</x:v>
      </x:c>
      <x:c r="I5" s="9" t="str">
        <x:v>互斥组</x:v>
      </x:c>
      <x:c r="J5" s="9" t="str">
        <x:v>优先级</x:v>
      </x:c>
      <x:c r="K5" s="9" t="str">
        <x:v>限制说明</x:v>
      </x:c>
    </x:row>
    <x:row r="6" ht="58" customHeight="1">
      <x:c r="A6" s="12" t="str">
        <x:v>ACT-260618</x:v>
      </x:c>
      <x:c r="B6" s="12" t="str">
        <x:v>年中双倍积分</x:v>
      </x:c>
      <x:c r="C6" s="13" t="n">
        <x:v>46191</x:v>
      </x:c>
      <x:c r="D6" s="13" t="n">
        <x:v>46193.99998842592</x:v>
      </x:c>
      <x:c r="E6" s="12" t="str">
        <x:v>App、官网</x:v>
      </x:c>
      <x:c r="F6" s="12" t="str">
        <x:v>已注册会员</x:v>
      </x:c>
      <x:c r="G6" s="12" t="str">
        <x:v>活动积分=基础积分；总积分=基础积分+活动积分</x:v>
      </x:c>
      <x:c r="H6" s="14" t="n">
        <x:v>1500</x:v>
      </x:c>
      <x:c r="I6" s="12" t="str">
        <x:v>POINT-MULTIPLIER</x:v>
      </x:c>
      <x:c r="J6" s="12" t="n">
        <x:v>20</x:v>
      </x:c>
      <x:c r="K6" s="12" t="str">
        <x:v>储值、运费及不可积分商品不参与；与新客三倍积分互斥</x:v>
      </x:c>
    </x:row>
    <x:row r="7" ht="58" customHeight="1">
      <x:c r="A7" s="12" t="str">
        <x:v>ACT-BIRTHDAY</x:v>
      </x:c>
      <x:c r="B7" s="12" t="str">
        <x:v>生日月50元券</x:v>
      </x:c>
      <x:c r="C7" s="13" t="n">
        <x:v>46023</x:v>
      </x:c>
      <x:c r="D7" s="13" t="n">
        <x:v>46387.99998842592</x:v>
      </x:c>
      <x:c r="E7" s="12" t="str">
        <x:v>App、门店</x:v>
      </x:c>
      <x:c r="F7" s="12" t="str">
        <x:v>生日月会员</x:v>
      </x:c>
      <x:c r="G7" s="12" t="str">
        <x:v>满300元可用50元券</x:v>
      </x:c>
      <x:c r="H7" s="14" t="n">
        <x:v>50</x:v>
      </x:c>
      <x:c r="I7" s="12" t="str">
        <x:v>ORDER-COUPON</x:v>
      </x:c>
      <x:c r="J7" s="12" t="n">
        <x:v>10</x:v>
      </x:c>
      <x:c r="K7" s="12" t="str">
        <x:v>与新客100元券互斥；券抵扣额不产生积分</x:v>
      </x:c>
    </x:row>
    <x:row r="8" ht="58" customHeight="1">
      <x:c r="A8" s="12" t="str">
        <x:v>ACT-NEW</x:v>
      </x:c>
      <x:c r="B8" s="12" t="str">
        <x:v>新客首单100元券</x:v>
      </x:c>
      <x:c r="C8" s="13" t="n">
        <x:v>46023</x:v>
      </x:c>
      <x:c r="D8" s="13" t="n">
        <x:v>46387.99998842592</x:v>
      </x:c>
      <x:c r="E8" s="12" t="str">
        <x:v>App、官网</x:v>
      </x:c>
      <x:c r="F8" s="12" t="str">
        <x:v>首次完成订单会员</x:v>
      </x:c>
      <x:c r="G8" s="12" t="str">
        <x:v>满500元可用100元券</x:v>
      </x:c>
      <x:c r="H8" s="14" t="n">
        <x:v>100</x:v>
      </x:c>
      <x:c r="I8" s="12" t="str">
        <x:v>ORDER-COUPON</x:v>
      </x:c>
      <x:c r="J8" s="12" t="n">
        <x:v>30</x:v>
      </x:c>
      <x:c r="K8" s="12" t="str">
        <x:v>优先于生日券；不可与生日券同单使用</x:v>
      </x:c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K2"/>
    <x:mergeCell ref="A3:K3"/>
  </x:mergeCells>
  <x:conditionalFormatting sqref="A6:K8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2" hidden="0" customWidth="1"/>
    <x:col min="4" max="4" width="19" hidden="0" customWidth="1"/>
    <x:col min="5" max="5" width="19" hidden="0" customWidth="1"/>
    <x:col min="6" max="6" width="14" hidden="0" customWidth="1"/>
    <x:col min="7" max="7" width="18" hidden="0" customWidth="1"/>
    <x:col min="8" max="8" width="14" hidden="0" customWidth="1"/>
    <x:col min="9" max="9" width="16" hidden="0" customWidth="1"/>
    <x:col min="10" max="10" width="17" hidden="0" customWidth="1"/>
    <x:col min="11" max="1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活动订单积分核对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基础积分=floor(实付可积分金额-退款可积分金额)；活动积分取基础积分并受 1,500 分上限约束。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8" customHeight="1">
      <x:c r="A5" s="9" t="str">
        <x:v>订单号</x:v>
      </x:c>
      <x:c r="B5" s="9" t="str">
        <x:v>会员ID</x:v>
      </x:c>
      <x:c r="C5" s="9" t="str">
        <x:v>下单时间</x:v>
      </x:c>
      <x:c r="D5" s="9" t="str">
        <x:v>实付可积分金额</x:v>
      </x:c>
      <x:c r="E5" s="9" t="str">
        <x:v>退款可积分金额</x:v>
      </x:c>
      <x:c r="F5" s="9" t="str">
        <x:v>基础积分</x:v>
      </x:c>
      <x:c r="G5" s="9" t="str">
        <x:v>活动编号</x:v>
      </x:c>
      <x:c r="H5" s="9" t="str">
        <x:v>活动积分</x:v>
      </x:c>
      <x:c r="I5" s="9" t="str">
        <x:v>应入账积分</x:v>
      </x:c>
      <x:c r="J5" s="9" t="str">
        <x:v>积分入账日</x:v>
      </x:c>
      <x:c r="K5" s="9" t="str">
        <x:v>积分到期日</x:v>
      </x:c>
    </x:row>
    <x:row r="6" ht="30" customHeight="1">
      <x:c r="A6" s="15" t="str">
        <x:v>ORD-SYN-901</x:v>
      </x:c>
      <x:c r="B6" s="15" t="str">
        <x:v>M-SYN-1001</x:v>
      </x:c>
      <x:c r="C6" s="16" t="n">
        <x:v>46191.430555555555</x:v>
      </x:c>
      <x:c r="D6" s="17" t="n">
        <x:v>1280</x:v>
      </x:c>
      <x:c r="E6" s="17" t="n">
        <x:v>280</x:v>
      </x:c>
      <x:c r="F6" s="17" t="n">
        <x:f>MAX(0,ROUNDDOWN(D6-E6,0))</x:f>
        <x:v>1000</x:v>
      </x:c>
      <x:c r="G6" s="17" t="str">
        <x:v>ACT-260618</x:v>
      </x:c>
      <x:c r="H6" s="17" t="n">
        <x:f>IF(G6="ACT-260618",MIN(F6,1500),0)</x:f>
        <x:v>1000</x:v>
      </x:c>
      <x:c r="I6" s="17" t="n">
        <x:f>F6+H6</x:f>
        <x:v>2000</x:v>
      </x:c>
      <x:c r="J6" s="18" t="n">
        <x:v>46199</x:v>
      </x:c>
      <x:c r="K6" s="18" t="n">
        <x:v>46752.99998842592</x:v>
      </x:c>
    </x:row>
    <x:row r="7" ht="30" customHeight="1">
      <x:c r="A7" s="15" t="str">
        <x:v>ORD-SYN-902</x:v>
      </x:c>
      <x:c r="B7" s="15" t="str">
        <x:v>M-SYN-1002</x:v>
      </x:c>
      <x:c r="C7" s="16" t="n">
        <x:v>46192.59027777778</x:v>
      </x:c>
      <x:c r="D7" s="17" t="n">
        <x:v>2200</x:v>
      </x:c>
      <x:c r="E7" s="17" t="n">
        <x:v>0</x:v>
      </x:c>
      <x:c r="F7" s="17" t="n">
        <x:f>MAX(0,ROUNDDOWN(D7-E7,0))</x:f>
        <x:v>2200</x:v>
      </x:c>
      <x:c r="G7" s="17" t="str">
        <x:v>ACT-260618</x:v>
      </x:c>
      <x:c r="H7" s="17" t="n">
        <x:f>IF(G7="ACT-260618",MIN(F7,1500),0)</x:f>
        <x:v>1500</x:v>
      </x:c>
      <x:c r="I7" s="17" t="n">
        <x:f>F7+H7</x:f>
        <x:v>3700</x:v>
      </x:c>
      <x:c r="J7" s="18" t="n">
        <x:v>46193</x:v>
      </x:c>
      <x:c r="K7" s="18" t="n">
        <x:v>46752.99998842592</x:v>
      </x:c>
    </x:row>
    <x:row r="8" ht="30" customHeight="1">
      <x:c r="A8" s="15" t="str">
        <x:v>ORD-SYN-903</x:v>
      </x:c>
      <x:c r="B8" s="15" t="str">
        <x:v>M-SYN-1003</x:v>
      </x:c>
      <x:c r="C8" s="16" t="n">
        <x:v>46194.385416666664</x:v>
      </x:c>
      <x:c r="D8" s="17" t="n">
        <x:v>620</x:v>
      </x:c>
      <x:c r="E8" s="17" t="n">
        <x:v>0</x:v>
      </x:c>
      <x:c r="F8" s="17" t="n">
        <x:f>MAX(0,ROUNDDOWN(D8-E8,0))</x:f>
        <x:v>620</x:v>
      </x:c>
      <x:c r="G8" s="17" t="str"/>
      <x:c r="H8" s="17" t="n">
        <x:f>IF(G8="ACT-260618",MIN(F8,1500),0)</x:f>
        <x:v>0</x:v>
      </x:c>
      <x:c r="I8" s="17" t="n">
        <x:f>F8+H8</x:f>
        <x:v>620</x:v>
      </x:c>
      <x:c r="J8" s="18" t="n">
        <x:v>46195</x:v>
      </x:c>
      <x:c r="K8" s="18" t="n">
        <x:v>46752.99998842592</x:v>
      </x:c>
    </x:row>
    <x:row r="9" ht="30" customHeight="1">
      <x:c r="A9" s="15" t="str">
        <x:v>ORD-SYN-904</x:v>
      </x:c>
      <x:c r="B9" s="15" t="str">
        <x:v>M-SYN-1004</x:v>
      </x:c>
      <x:c r="C9" s="16" t="n">
        <x:v>46191.836805555555</x:v>
      </x:c>
      <x:c r="D9" s="17" t="n">
        <x:v>160</x:v>
      </x:c>
      <x:c r="E9" s="17" t="n">
        <x:v>260</x:v>
      </x:c>
      <x:c r="F9" s="17" t="n">
        <x:f>MAX(0,ROUNDDOWN(D9-E9,0))</x:f>
        <x:v>0</x:v>
      </x:c>
      <x:c r="G9" s="17" t="str">
        <x:v>ACT-260618</x:v>
      </x:c>
      <x:c r="H9" s="17" t="n">
        <x:f>IF(G9="ACT-260618",MIN(F9,1500),0)</x:f>
        <x:v>0</x:v>
      </x:c>
      <x:c r="I9" s="17" t="n">
        <x:f>F9+H9</x:f>
        <x:v>0</x:v>
      </x:c>
      <x:c r="J9" s="18" t="n">
        <x:v>46200</x:v>
      </x:c>
      <x:c r="K9" s="18" t="n">
        <x:v>46752.99998842592</x:v>
      </x:c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K2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34" hidden="0" customWidth="1"/>
    <x:col min="4" max="4" width="37" hidden="0" customWidth="1"/>
    <x:col min="5" max="5" width="40" hidden="0" customWidth="1"/>
    <x:col min="6" max="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活动叠加与异常处理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9" t="str">
        <x:v>规则编号</x:v>
      </x:c>
      <x:c r="B4" s="9" t="str">
        <x:v>场景</x:v>
      </x:c>
      <x:c r="C4" s="9" t="str">
        <x:v>适用规则</x:v>
      </x:c>
      <x:c r="D4" s="9" t="str">
        <x:v>确定性结果</x:v>
      </x:c>
      <x:c r="E4" s="9" t="str">
        <x:v>处理要求</x:v>
      </x:c>
      <x:c r="F4" s="9" t="str">
        <x:v>来源</x:v>
      </x:c>
      <x:c r="G4" s="1"/>
      <x:c r="H4" s="1"/>
      <x:c r="I4" s="1"/>
      <x:c r="J4" s="1"/>
      <x:c r="K4" s="1"/>
    </x:row>
    <x:row r="5" ht="56" customHeight="1">
      <x:c r="A5" s="12" t="str">
        <x:v>STACK-001</x:v>
      </x:c>
      <x:c r="B5" s="12" t="str">
        <x:v>生日会员首单同时满足两张券</x:v>
      </x:c>
      <x:c r="C5" s="12" t="str">
        <x:v>同一互斥组按优先级取一项</x:v>
      </x:c>
      <x:c r="D5" s="20" t="str">
        <x:v>使用新客100元券，不再使用生日50元券</x:v>
      </x:c>
      <x:c r="E5" s="12" t="str">
        <x:v>前台解释未叠加原因</x:v>
      </x:c>
      <x:c r="F5" s="12" t="str">
        <x:v>活动规则</x:v>
      </x:c>
      <x:c r="G5" s="1"/>
      <x:c r="H5" s="1"/>
      <x:c r="I5" s="1"/>
      <x:c r="J5" s="1"/>
      <x:c r="K5" s="1"/>
    </x:row>
    <x:row r="6" ht="56" customHeight="1">
      <x:c r="A6" s="12" t="str">
        <x:v>POINT-001</x:v>
      </x:c>
      <x:c r="B6" s="12" t="str">
        <x:v>ORD-SYN-901 双倍积分后发生部分退货</x:v>
      </x:c>
      <x:c r="C6" s="12" t="str">
        <x:v>按退款后的可积分金额复算原活动</x:v>
      </x:c>
      <x:c r="D6" s="20" t="str">
        <x:v>基础1000分+活动1000分=2000分</x:v>
      </x:c>
      <x:c r="E6" s="12" t="str">
        <x:v>记录冲正与重算明细</x:v>
      </x:c>
      <x:c r="F6" s="12" t="str">
        <x:v>订单核对</x:v>
      </x:c>
      <x:c r="G6" s="1"/>
      <x:c r="H6" s="1"/>
      <x:c r="I6" s="1"/>
      <x:c r="J6" s="1"/>
      <x:c r="K6" s="1"/>
    </x:row>
    <x:row r="7" ht="56" customHeight="1">
      <x:c r="A7" s="12" t="str">
        <x:v>POINT-002</x:v>
      </x:c>
      <x:c r="B7" s="12" t="str">
        <x:v>ORD-SYN-902 基础积分超过活动上限</x:v>
      </x:c>
      <x:c r="C7" s="12" t="str">
        <x:v>活动积分最多1500分</x:v>
      </x:c>
      <x:c r="D7" s="20" t="str">
        <x:v>基础2200分+活动1500分=3700分</x:v>
      </x:c>
      <x:c r="E7" s="12" t="str">
        <x:v>不得把总积分截断为1500分</x:v>
      </x:c>
      <x:c r="F7" s="12" t="str">
        <x:v>订单核对</x:v>
      </x:c>
      <x:c r="G7" s="1"/>
      <x:c r="H7" s="1"/>
      <x:c r="I7" s="1"/>
      <x:c r="J7" s="1"/>
      <x:c r="K7" s="1"/>
    </x:row>
    <x:row r="8" ht="56" customHeight="1">
      <x:c r="A8" s="12" t="str">
        <x:v>POINT-003</x:v>
      </x:c>
      <x:c r="B8" s="12" t="str">
        <x:v>ORD-SYN-904 退款高于实付可积分金额</x:v>
      </x:c>
      <x:c r="C8" s="12" t="str">
        <x:v>积分下限为0</x:v>
      </x:c>
      <x:c r="D8" s="20" t="str">
        <x:v>基础0分+活动0分=0分</x:v>
      </x:c>
      <x:c r="E8" s="12" t="str">
        <x:v>超额退款不产生负积分债务，进入人工核对</x:v>
      </x:c>
      <x:c r="F8" s="12" t="str">
        <x:v>订单核对</x:v>
      </x:c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2:F2"/>
  </x:mergeCells>
  <x:pageMargins left="0.7" right="0.7" top="0.75" bottom="0.75" header="0.3" footer="0.3"/>
</x:worksheet>
</file>